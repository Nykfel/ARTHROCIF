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026mr001\Desktop\Stage\Identification cif\cif-like\CifB\"/>
    </mc:Choice>
  </mc:AlternateContent>
  <xr:revisionPtr revIDLastSave="0" documentId="13_ncr:1_{DC109586-D402-4953-8B6A-8449DA39E655}" xr6:coauthVersionLast="47" xr6:coauthVersionMax="47" xr10:uidLastSave="{00000000-0000-0000-0000-000000000000}"/>
  <bookViews>
    <workbookView xWindow="-120" yWindow="-120" windowWidth="25440" windowHeight="15270" tabRatio="500" xr2:uid="{00000000-000D-0000-FFFF-FFFF00000000}"/>
  </bookViews>
  <sheets>
    <sheet name="1" sheetId="1" r:id="rId1"/>
    <sheet name="2" sheetId="2" r:id="rId2"/>
    <sheet name="3" sheetId="5" r:id="rId3"/>
    <sheet name="Feuil1" sheetId="6" r:id="rId4"/>
    <sheet name="Feuil2" sheetId="7" r:id="rId5"/>
    <sheet name="3avant" sheetId="4" r:id="rId6"/>
    <sheet name="obsolète" sheetId="3" r:id="rId7"/>
  </sheets>
  <definedNames>
    <definedName name="_xlnm._FilterDatabase" localSheetId="0" hidden="1">'1'!$I$1:$I$95</definedName>
    <definedName name="_xlnm._FilterDatabase" localSheetId="1" hidden="1">'2'!$Z$1:$Z$86</definedName>
    <definedName name="_xlnm._FilterDatabase" localSheetId="5" hidden="1">'3avant'!$I$1:$I$18</definedName>
    <definedName name="_xlnm._FilterDatabase" localSheetId="6" hidden="1">obsolète!$I$1:$I$1048498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29" i="5" l="1"/>
  <c r="B13" i="5"/>
  <c r="Q27" i="5"/>
  <c r="Q28" i="5"/>
  <c r="Q29" i="5"/>
  <c r="Q26" i="5"/>
  <c r="B27" i="5"/>
  <c r="B28" i="5"/>
  <c r="S28" i="2"/>
  <c r="B27" i="2"/>
  <c r="B28" i="2"/>
  <c r="B3" i="2"/>
  <c r="B4" i="2"/>
  <c r="B5" i="2"/>
  <c r="B6" i="2"/>
  <c r="B7" i="2"/>
  <c r="B8" i="2"/>
  <c r="B9" i="2"/>
  <c r="B10" i="2"/>
  <c r="B11" i="2"/>
  <c r="B12" i="2"/>
  <c r="B13" i="2"/>
  <c r="B14" i="2"/>
  <c r="B15" i="2"/>
  <c r="B16" i="2"/>
  <c r="B17" i="2"/>
  <c r="B18" i="2"/>
  <c r="B19" i="2"/>
  <c r="B20" i="2"/>
  <c r="B21" i="2"/>
  <c r="B22" i="2"/>
  <c r="B23" i="2"/>
  <c r="B24" i="2"/>
  <c r="B25" i="2"/>
  <c r="B26" i="2"/>
  <c r="B2" i="2"/>
  <c r="S27" i="2"/>
  <c r="S26" i="2"/>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2" i="7"/>
  <c r="C6" i="1"/>
  <c r="Q17" i="5"/>
  <c r="B7" i="5"/>
  <c r="B8" i="5"/>
  <c r="Q4" i="5"/>
  <c r="Q5" i="5"/>
  <c r="Q6" i="5"/>
  <c r="Q7" i="5"/>
  <c r="Q8" i="5"/>
  <c r="Q9" i="5"/>
  <c r="Q10" i="5"/>
  <c r="Q11" i="5"/>
  <c r="Q12" i="5"/>
  <c r="Q13" i="5"/>
  <c r="Q14" i="5"/>
  <c r="Q15" i="5"/>
  <c r="Q16" i="5"/>
  <c r="Q18" i="5"/>
  <c r="Q19" i="5"/>
  <c r="Q20" i="5"/>
  <c r="Q21" i="5"/>
  <c r="Q22" i="5"/>
  <c r="Q23" i="5"/>
  <c r="Q24" i="5"/>
  <c r="Q25" i="5"/>
  <c r="B26" i="5"/>
  <c r="B25" i="5"/>
  <c r="B24" i="5"/>
  <c r="B23" i="5"/>
  <c r="B22" i="5"/>
  <c r="B21" i="5"/>
  <c r="B20" i="5"/>
  <c r="B19" i="5"/>
  <c r="B18" i="5"/>
  <c r="B17" i="5"/>
  <c r="B16" i="5"/>
  <c r="B15" i="5"/>
  <c r="B14" i="5"/>
  <c r="B12" i="5"/>
  <c r="B11" i="5"/>
  <c r="B10" i="5"/>
  <c r="B9" i="5"/>
  <c r="B6" i="5"/>
  <c r="B5" i="5"/>
  <c r="B4" i="5"/>
  <c r="Q3" i="5"/>
  <c r="B3" i="5"/>
  <c r="D12" i="4"/>
  <c r="D9" i="4"/>
  <c r="D8" i="4"/>
  <c r="D6" i="4"/>
  <c r="D16" i="4"/>
  <c r="D15" i="4"/>
  <c r="D14" i="4"/>
  <c r="D13" i="4"/>
  <c r="D18" i="4"/>
  <c r="D17" i="4"/>
  <c r="D11" i="4"/>
  <c r="D7" i="4"/>
  <c r="D10" i="4"/>
  <c r="D5" i="4"/>
  <c r="D4" i="4"/>
  <c r="D3" i="4"/>
  <c r="D2" i="4"/>
  <c r="B18" i="3"/>
  <c r="B14" i="3"/>
  <c r="B6" i="3"/>
  <c r="B5" i="3"/>
  <c r="B4" i="3"/>
  <c r="B2" i="3"/>
  <c r="S25" i="2"/>
  <c r="S24" i="2"/>
  <c r="S23" i="2"/>
  <c r="S22" i="2"/>
  <c r="S21" i="2"/>
  <c r="S20" i="2"/>
  <c r="S19" i="2"/>
  <c r="S18" i="2"/>
  <c r="S17" i="2"/>
  <c r="S16" i="2"/>
  <c r="S15" i="2"/>
  <c r="S14" i="2"/>
  <c r="S13" i="2"/>
  <c r="S12" i="2"/>
  <c r="S11" i="2"/>
  <c r="S9" i="2"/>
  <c r="S7" i="2"/>
  <c r="S6" i="2"/>
  <c r="S5" i="2"/>
  <c r="S4" i="2"/>
  <c r="S3" i="2"/>
  <c r="S2" i="2"/>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5" i="1"/>
  <c r="B4" i="1"/>
  <c r="B3" i="1"/>
  <c r="B2" i="1"/>
</calcChain>
</file>

<file path=xl/sharedStrings.xml><?xml version="1.0" encoding="utf-8"?>
<sst xmlns="http://schemas.openxmlformats.org/spreadsheetml/2006/main" count="3779" uniqueCount="625">
  <si>
    <t>Cif</t>
  </si>
  <si>
    <t>Name</t>
  </si>
  <si>
    <t>Organism</t>
  </si>
  <si>
    <t>Clade</t>
  </si>
  <si>
    <t>Ordre</t>
  </si>
  <si>
    <t>BLAST_hit</t>
  </si>
  <si>
    <t>Selected_Accession</t>
  </si>
  <si>
    <t>Taille</t>
  </si>
  <si>
    <t>Source</t>
  </si>
  <si>
    <t>Methode</t>
  </si>
  <si>
    <t>Prot_obtention</t>
  </si>
  <si>
    <t>Cif_like</t>
  </si>
  <si>
    <t>Phylogenie</t>
  </si>
  <si>
    <t>B</t>
  </si>
  <si>
    <t>Abscondita_terminalis</t>
  </si>
  <si>
    <t>Arthropoda</t>
  </si>
  <si>
    <t>Coleoptera</t>
  </si>
  <si>
    <t>KAF5269421.1</t>
  </si>
  <si>
    <t>Liste</t>
  </si>
  <si>
    <t>A</t>
  </si>
  <si>
    <t>KAF5271477.1</t>
  </si>
  <si>
    <t>KAF5271551.1</t>
  </si>
  <si>
    <t>KAF5279910.1</t>
  </si>
  <si>
    <t>KAF5279926.1</t>
  </si>
  <si>
    <t>Amblyptilia_punctidactyla</t>
  </si>
  <si>
    <t>Lepidoptera</t>
  </si>
  <si>
    <t>OZ389411.1</t>
  </si>
  <si>
    <t>blast</t>
  </si>
  <si>
    <t>tblastx</t>
  </si>
  <si>
    <t>M</t>
  </si>
  <si>
    <t>Anaeromyces_robustus</t>
  </si>
  <si>
    <t>Fungi</t>
  </si>
  <si>
    <t>ORX65545.1</t>
  </si>
  <si>
    <t>blastp</t>
  </si>
  <si>
    <t>ORX75427.1</t>
  </si>
  <si>
    <t>Araneus_ventricosus</t>
  </si>
  <si>
    <t>Araneae</t>
  </si>
  <si>
    <t>GBL98430.1</t>
  </si>
  <si>
    <t>GBM63681.1</t>
  </si>
  <si>
    <t>GBM90577.1</t>
  </si>
  <si>
    <t>GBO46134.1</t>
  </si>
  <si>
    <t>GBL78539.1</t>
  </si>
  <si>
    <t>Argiope_bruennichi</t>
  </si>
  <si>
    <t>KAF8789045.1</t>
  </si>
  <si>
    <t>Aricia_agestis</t>
  </si>
  <si>
    <t>XP_041974316.1</t>
  </si>
  <si>
    <t>Armadillidium_vulgare</t>
  </si>
  <si>
    <t>Isopoda</t>
  </si>
  <si>
    <t>OJH30286.1</t>
  </si>
  <si>
    <t>OJH31327.1</t>
  </si>
  <si>
    <t>OJH31328.1</t>
  </si>
  <si>
    <t>OJH31450.1</t>
  </si>
  <si>
    <t>OJH31454.1</t>
  </si>
  <si>
    <t>OJH31527.1</t>
  </si>
  <si>
    <t>OJH32251.1</t>
  </si>
  <si>
    <t>OJH32361.1</t>
  </si>
  <si>
    <t>OJH32362.1</t>
  </si>
  <si>
    <t>OJH32882.1</t>
  </si>
  <si>
    <t>OJH32952.1</t>
  </si>
  <si>
    <t>Brachionus_calyciflorus</t>
  </si>
  <si>
    <t>Rotifera</t>
  </si>
  <si>
    <t>CAF0888058.1</t>
  </si>
  <si>
    <t>Cinara_cedri</t>
  </si>
  <si>
    <t>Hemiptera</t>
  </si>
  <si>
    <t>VVC27379.1</t>
  </si>
  <si>
    <t>VVC39142.1</t>
  </si>
  <si>
    <t>Clubiona_pallidula</t>
  </si>
  <si>
    <t>OZ375492.1</t>
  </si>
  <si>
    <t>tblastn</t>
  </si>
  <si>
    <t>Coccinella_septempunctata</t>
  </si>
  <si>
    <t>XP_044747138.1</t>
  </si>
  <si>
    <t>Dendroctonus_ponderosae</t>
  </si>
  <si>
    <t>KAH1011015.1</t>
  </si>
  <si>
    <t>XM_019910107.2</t>
  </si>
  <si>
    <t>XP_019765666.2</t>
  </si>
  <si>
    <t>XM_048665546.1</t>
  </si>
  <si>
    <t>XP_048521503.1</t>
  </si>
  <si>
    <t>XP_019765667.1</t>
  </si>
  <si>
    <t>Ditylenchus_destructor</t>
  </si>
  <si>
    <t>Nematoda</t>
  </si>
  <si>
    <t>KAI1710873.1</t>
  </si>
  <si>
    <t>KAI1712998.1</t>
  </si>
  <si>
    <t>Drosophila_ananassae</t>
  </si>
  <si>
    <t>Diptera</t>
  </si>
  <si>
    <t>EF611939.1</t>
  </si>
  <si>
    <t>EF611940.1</t>
  </si>
  <si>
    <t>NW_025319039.1</t>
  </si>
  <si>
    <t>genome</t>
  </si>
  <si>
    <t>NW_025319040.1</t>
  </si>
  <si>
    <t>NW_025319042.1</t>
  </si>
  <si>
    <t>NW_025319046.1</t>
  </si>
  <si>
    <t>Ectocarpus_sp._12_AP-2014</t>
  </si>
  <si>
    <t>Stramenopila</t>
  </si>
  <si>
    <t>CAN0549207.1</t>
  </si>
  <si>
    <t>Gerris_buenoi</t>
  </si>
  <si>
    <t>CAO4854541.1</t>
  </si>
  <si>
    <t>CAO4855892.1</t>
  </si>
  <si>
    <t>Homalodisca_vitripennis</t>
  </si>
  <si>
    <t>KAG8290545.1</t>
  </si>
  <si>
    <t>KAG8290569.1</t>
  </si>
  <si>
    <t>Laminarionema_elsbetiae</t>
  </si>
  <si>
    <t>CAN0359622.1</t>
  </si>
  <si>
    <t>Laodelphax_striatellus</t>
  </si>
  <si>
    <t>RZF45784.1</t>
  </si>
  <si>
    <t>Lutzomyia_longipalpis</t>
  </si>
  <si>
    <t>XP_055690609.1</t>
  </si>
  <si>
    <t>XP_055690610.1</t>
  </si>
  <si>
    <t>Maniola_hyperantus</t>
  </si>
  <si>
    <t>XM_069499851.1</t>
  </si>
  <si>
    <t>XP_069355952.1</t>
  </si>
  <si>
    <t>XM_069499852.1</t>
  </si>
  <si>
    <t>XP_069355953.1</t>
  </si>
  <si>
    <t>Messor_orientalis</t>
  </si>
  <si>
    <t>Hymenoptera</t>
  </si>
  <si>
    <t>OZ389556.1</t>
  </si>
  <si>
    <t>Monomorium_pharaonis</t>
  </si>
  <si>
    <t>XM_036289926.1</t>
  </si>
  <si>
    <t>XP_036145819.1</t>
  </si>
  <si>
    <t>Mycetomoellerius_zeteki</t>
  </si>
  <si>
    <t>KYQ60003.1</t>
  </si>
  <si>
    <t>Neocallimastix_californiae</t>
  </si>
  <si>
    <t>ORY09044.1</t>
  </si>
  <si>
    <t>ORY84572.1</t>
  </si>
  <si>
    <t>Neocallimastix_lanati_(nom._inval.)</t>
  </si>
  <si>
    <t>KAG4082405.1</t>
  </si>
  <si>
    <t>KAG4083499.1</t>
  </si>
  <si>
    <t>Neocallimastix_sp._'constans'</t>
  </si>
  <si>
    <t>KAL6602446.1</t>
  </si>
  <si>
    <t>KAL6632934.1</t>
  </si>
  <si>
    <t>Nephila_pilipes</t>
  </si>
  <si>
    <t>GFS42333.1</t>
  </si>
  <si>
    <t>GFS42335.1</t>
  </si>
  <si>
    <t>GFS67295.1</t>
  </si>
  <si>
    <t>Oedothorax_gibbosus_</t>
  </si>
  <si>
    <t>KAG8173535.1</t>
  </si>
  <si>
    <t>Ooceraea_biroi</t>
  </si>
  <si>
    <t>RLU16361.1</t>
  </si>
  <si>
    <t>Pararge_aegeria_aegeria_</t>
  </si>
  <si>
    <t>CAH2210414.1</t>
  </si>
  <si>
    <t>Parasteatoda_tepidariorum</t>
  </si>
  <si>
    <t>XP_015922318.1</t>
  </si>
  <si>
    <t>Phlebotomus_argentipes</t>
  </si>
  <si>
    <t>XP_059612603.1</t>
  </si>
  <si>
    <t>Piromyces_finnis</t>
  </si>
  <si>
    <t>ORX42221.1</t>
  </si>
  <si>
    <t>ORX57955.1</t>
  </si>
  <si>
    <t>Piromyces_sp._E2</t>
  </si>
  <si>
    <t>OUM62993.1</t>
  </si>
  <si>
    <t>OUM67614.1</t>
  </si>
  <si>
    <t>Rhizophagus_irregularis</t>
  </si>
  <si>
    <t>PKY59383.1</t>
  </si>
  <si>
    <t>Sitophilus_oryzae</t>
  </si>
  <si>
    <t>XP_030745916.1</t>
  </si>
  <si>
    <t>Teleopsis_dalmanni</t>
  </si>
  <si>
    <t>XP_037931622.1</t>
  </si>
  <si>
    <t>XP_037935032.1</t>
  </si>
  <si>
    <t>Temnothorax_curvispinosus</t>
  </si>
  <si>
    <t>XP_024879170.1</t>
  </si>
  <si>
    <t>XP_024879170.2</t>
  </si>
  <si>
    <t>Timema_californicum</t>
  </si>
  <si>
    <t>Phasmatidae</t>
  </si>
  <si>
    <t>OE198796.1</t>
  </si>
  <si>
    <t>Trichonephila_clavata</t>
  </si>
  <si>
    <t>GFQ69431.1</t>
  </si>
  <si>
    <t>GFR08163.1</t>
  </si>
  <si>
    <t>GFR11649.1</t>
  </si>
  <si>
    <t>GFR11720.1</t>
  </si>
  <si>
    <t>GFR32305.1</t>
  </si>
  <si>
    <t>GFU91911.1</t>
  </si>
  <si>
    <t>Trichonephila_inaurata_madagascariensis_</t>
  </si>
  <si>
    <t>GFY80029.1</t>
  </si>
  <si>
    <t>Trichonephila_inaurata_madagascariensis</t>
  </si>
  <si>
    <t>GFY74152.1</t>
  </si>
  <si>
    <t>Tritrichomonas_musculus</t>
  </si>
  <si>
    <t>Protist</t>
  </si>
  <si>
    <t>KAK8847280.1</t>
  </si>
  <si>
    <t>KAK8894435.1</t>
  </si>
  <si>
    <t>Wasmannia_auropunctata</t>
  </si>
  <si>
    <t>XP_011686120.1</t>
  </si>
  <si>
    <t>XP_011686121.1</t>
  </si>
  <si>
    <t>Biosample</t>
  </si>
  <si>
    <t>Id</t>
  </si>
  <si>
    <t>T</t>
  </si>
  <si>
    <t>Seq_info</t>
  </si>
  <si>
    <t>scaffold</t>
  </si>
  <si>
    <t>Start</t>
  </si>
  <si>
    <t>End</t>
  </si>
  <si>
    <t>Positions</t>
  </si>
  <si>
    <t>Bioproject</t>
  </si>
  <si>
    <t>Composed</t>
  </si>
  <si>
    <t>Assembly</t>
  </si>
  <si>
    <t>GenBank</t>
  </si>
  <si>
    <t>G_info</t>
  </si>
  <si>
    <t>Biosample_note</t>
  </si>
  <si>
    <t>Auto_Cif_pair</t>
  </si>
  <si>
    <t>SAMN13901672</t>
  </si>
  <si>
    <t>cHI</t>
  </si>
  <si>
    <t>I</t>
  </si>
  <si>
    <t>genomic_scaffold</t>
  </si>
  <si>
    <t>PRJNA765704</t>
  </si>
  <si>
    <t>Pool</t>
  </si>
  <si>
    <t>ASM1763931v2</t>
  </si>
  <si>
    <t>GCA_017639315.2</t>
  </si>
  <si>
    <t>Chromosome</t>
  </si>
  <si>
    <t>II</t>
  </si>
  <si>
    <t>SAMEA117574984</t>
  </si>
  <si>
    <t>ilAmb</t>
  </si>
  <si>
    <t>IV</t>
  </si>
  <si>
    <t>genome_assembly</t>
  </si>
  <si>
    <t>PRJEB106167</t>
  </si>
  <si>
    <t>ilAmbPunc2.hap1.1</t>
  </si>
  <si>
    <t>GCA_978015435.1</t>
  </si>
  <si>
    <t>SAMEA5384776</t>
  </si>
  <si>
    <t>T76</t>
  </si>
  <si>
    <t>DNA</t>
  </si>
  <si>
    <t>PRJEB31411</t>
  </si>
  <si>
    <t>Monoisolate</t>
  </si>
  <si>
    <t>SAMN12385057</t>
  </si>
  <si>
    <t>Ate-2015</t>
  </si>
  <si>
    <t>VI</t>
  </si>
  <si>
    <t>hypothetical_protein</t>
  </si>
  <si>
    <t>JABVZW010003181.1</t>
  </si>
  <si>
    <t>82579..91667</t>
  </si>
  <si>
    <t>PRJNA556938</t>
  </si>
  <si>
    <t>Ate</t>
  </si>
  <si>
    <t>GCA_013368085.1</t>
  </si>
  <si>
    <t>Scaffold</t>
  </si>
  <si>
    <t>SAMEA120815194</t>
  </si>
  <si>
    <t>Swe94</t>
  </si>
  <si>
    <t>VIII</t>
  </si>
  <si>
    <t>protein</t>
  </si>
  <si>
    <t>CDWWKY010000139.1</t>
  </si>
  <si>
    <t>PRJEB105306</t>
  </si>
  <si>
    <t>Gerris_buenoi_Genome_Assembly</t>
  </si>
  <si>
    <t>GCA_977966815.1</t>
  </si>
  <si>
    <t>1894619..1897359</t>
  </si>
  <si>
    <t>SAMN04884744</t>
  </si>
  <si>
    <t>WXf-1543</t>
  </si>
  <si>
    <t>LYUU01002088.1</t>
  </si>
  <si>
    <t>PRJNA318167</t>
  </si>
  <si>
    <t>A_vulgare_v1</t>
  </si>
  <si>
    <t>GCA_001887335.1</t>
  </si>
  <si>
    <t>SAMN18497788</t>
  </si>
  <si>
    <t>Tul88</t>
  </si>
  <si>
    <t>JAGXCG010014681.1</t>
  </si>
  <si>
    <t>PRJNA717305</t>
  </si>
  <si>
    <t>pool_(of_3_insects_designated_A6,_A7,_A9)</t>
  </si>
  <si>
    <t>UCR_GWSS_1.0</t>
  </si>
  <si>
    <t>GCA_019364655.1</t>
  </si>
  <si>
    <t>SAMD00127334</t>
  </si>
  <si>
    <t>Yam34</t>
  </si>
  <si>
    <t>IX</t>
  </si>
  <si>
    <t>BGPR01000016.1</t>
  </si>
  <si>
    <t>PRJDB7092</t>
  </si>
  <si>
    <t>Ave_3.0</t>
  </si>
  <si>
    <t>GCA_013235015.1</t>
  </si>
  <si>
    <t>SAMD00233892</t>
  </si>
  <si>
    <t>Oki30</t>
  </si>
  <si>
    <t>BMAW01089947.1</t>
  </si>
  <si>
    <t>PRJDB10128</t>
  </si>
  <si>
    <t>Npil_1.0</t>
  </si>
  <si>
    <t>GCA_019974015.1</t>
  </si>
  <si>
    <t>SAMEA110187692</t>
  </si>
  <si>
    <t>P92</t>
  </si>
  <si>
    <t>NW_026776177.1</t>
  </si>
  <si>
    <t>PRJNA1019723</t>
  </si>
  <si>
    <t>Phlebotomus_argentipes_genome_assembly</t>
  </si>
  <si>
    <t>GCF_947086385.1</t>
  </si>
  <si>
    <t>SAMN15803692</t>
  </si>
  <si>
    <t>Ploen</t>
  </si>
  <si>
    <t>CAJNOC010001747.1</t>
  </si>
  <si>
    <t>PRJEB43239</t>
  </si>
  <si>
    <t>Bc_PSC1_reference_genomic_v1</t>
  </si>
  <si>
    <t>GCA_905250105.1</t>
  </si>
  <si>
    <t>SAMN16793753</t>
  </si>
  <si>
    <t>FM20</t>
  </si>
  <si>
    <t>NW_026018611.1</t>
  </si>
  <si>
    <t>PRJNA846874</t>
  </si>
  <si>
    <t>Dpon_F_20191213v2</t>
  </si>
  <si>
    <t>GCA_020466585.2</t>
  </si>
  <si>
    <t>SAMN16793775</t>
  </si>
  <si>
    <t>MF20</t>
  </si>
  <si>
    <t>JAFETF010000004.1</t>
  </si>
  <si>
    <t>PRJNA638274</t>
  </si>
  <si>
    <t>Dpon_M_20191212v2</t>
  </si>
  <si>
    <t>GCA_020466635.2</t>
  </si>
  <si>
    <t>SAMN29048364</t>
  </si>
  <si>
    <t>SR22</t>
  </si>
  <si>
    <t>NC_074709.1</t>
  </si>
  <si>
    <t>PRJNA962596</t>
  </si>
  <si>
    <t>ASM2433408v1</t>
  </si>
  <si>
    <t>GCF_024334085.1</t>
  </si>
  <si>
    <t>GenBank_Assembly</t>
  </si>
  <si>
    <t>n</t>
  </si>
  <si>
    <t>Query</t>
  </si>
  <si>
    <t>Query Cover</t>
  </si>
  <si>
    <t>E value</t>
  </si>
  <si>
    <t>Per. Ident</t>
  </si>
  <si>
    <t>CifA_scaffold</t>
  </si>
  <si>
    <t>CifA_Start</t>
  </si>
  <si>
    <t>CifA_End</t>
  </si>
  <si>
    <t>CifA_Positions</t>
  </si>
  <si>
    <t>CifA_Acc</t>
  </si>
  <si>
    <t>New</t>
  </si>
  <si>
    <t>Annoté</t>
  </si>
  <si>
    <t>Comment</t>
  </si>
  <si>
    <t>I/II</t>
  </si>
  <si>
    <t>Amblyptilia_punctidactyla_ilAmb</t>
  </si>
  <si>
    <t>Wolbachia_strain_wAlbB wAlbB_00865(191aa)</t>
  </si>
  <si>
    <t>89.76%</t>
  </si>
  <si>
    <t>13709097..13709653</t>
  </si>
  <si>
    <t>NA</t>
  </si>
  <si>
    <t>Phlebotomus_argentipes_P92</t>
  </si>
  <si>
    <t>Brachionus_calyciflorus_Ploen</t>
  </si>
  <si>
    <t>Dendroctonus_ponderosae_FM20</t>
  </si>
  <si>
    <t>Dendroctonus_ponderosae_MF20</t>
  </si>
  <si>
    <t>Lutzomyia_longipalpis_SR22</t>
  </si>
  <si>
    <t>Abscondita_terminalis_Ate-2015</t>
  </si>
  <si>
    <t xml:space="preserve">Wolbachia strain wCin2USA1 wCinUSA_00146(208aa) </t>
  </si>
  <si>
    <t>72.12%</t>
  </si>
  <si>
    <t>96616..97236</t>
  </si>
  <si>
    <t>CifA et cifB sur même protéine</t>
  </si>
  <si>
    <t>53.59%</t>
  </si>
  <si>
    <t>JABVZW010002730.1</t>
  </si>
  <si>
    <t>2763929..2764530</t>
  </si>
  <si>
    <t>Armadillidium_vulgare_WXf-1543</t>
  </si>
  <si>
    <t xml:space="preserve">Wolbachia strain wTri-2 wTri2_00011(210aa) </t>
  </si>
  <si>
    <t>75.47%</t>
  </si>
  <si>
    <t xml:space="preserve">2339216..2339848 </t>
  </si>
  <si>
    <t>GCA_001887335.2</t>
  </si>
  <si>
    <t>1630884..1631516</t>
  </si>
  <si>
    <t>GCA_001887335.3</t>
  </si>
  <si>
    <t>889145..889777</t>
  </si>
  <si>
    <t>Auto_pair</t>
  </si>
  <si>
    <t>?</t>
  </si>
  <si>
    <t xml:space="preserve">Wolbachia_strain_wOegib1(260aa) </t>
  </si>
  <si>
    <t>88.85%</t>
  </si>
  <si>
    <t>181677..182456</t>
  </si>
  <si>
    <t>Same_scaffold</t>
  </si>
  <si>
    <t>Same_type</t>
  </si>
  <si>
    <t>cured of Wolbachia by treatment with tetracycline</t>
  </si>
  <si>
    <t>symbiont : N</t>
  </si>
  <si>
    <t>warning : contaminated</t>
  </si>
  <si>
    <t>genome length too small ; This study provides the sequencing of Armadillidium vulgare line WXf-1543 carrying feminization factor which is a Wolbachia-like element named f factor.</t>
  </si>
  <si>
    <t>Same_Cif_Amount</t>
  </si>
  <si>
    <t>Scale of research</t>
  </si>
  <si>
    <t>First screen Completion info</t>
  </si>
  <si>
    <t>CifB First screen (Point of start)</t>
  </si>
  <si>
    <t>CifA_present</t>
  </si>
  <si>
    <t>Same_Amount</t>
  </si>
  <si>
    <t>Wolbachia_strain_wAlbB_00865(191aa)</t>
  </si>
  <si>
    <t xml:space="preserve">Wolbachia strain wCinUSA_00146(208aa) </t>
  </si>
  <si>
    <t>CifA selected on Second screen</t>
  </si>
  <si>
    <t>wOegib1_00876 Wolbachia_strain_wOegib1(302aa)</t>
  </si>
  <si>
    <t>85.48%</t>
  </si>
  <si>
    <t>Wolbachia_strain_wMeg(241aa)</t>
  </si>
  <si>
    <t>59.91%</t>
  </si>
  <si>
    <t>CifA et B sur même prot blast</t>
  </si>
  <si>
    <t>87.25%</t>
  </si>
  <si>
    <t xml:space="preserve">Wolbachia_strain_wRi_00592(204aa) </t>
  </si>
  <si>
    <t>Query_RNA-binding</t>
  </si>
  <si>
    <t>2nd screen Completion info</t>
  </si>
  <si>
    <t xml:space="preserve"> Drosophila_ananassae_cHI_NW_025319047.1(199aa) </t>
  </si>
  <si>
    <t>87.94%</t>
  </si>
  <si>
    <t>88.44%</t>
  </si>
  <si>
    <t>41.08%</t>
  </si>
  <si>
    <t xml:space="preserve">Wolbachia_strain_wOrie_00855(192aa) </t>
  </si>
  <si>
    <t xml:space="preserve">Homalodisca vitripennis Tul88 KAG8290568.1(212aa) </t>
  </si>
  <si>
    <t>91.04%</t>
  </si>
  <si>
    <t>CAO4854549.1</t>
  </si>
  <si>
    <t>plein d'autres alignement proposés, ici j'ai gardé ceux les plus proches des positions respectives de chaque cifB, dont ceux présentés dans la phylogénie (l'un des deux est très proche de cifB mais un encore plus proceh donc il prend la priorité)</t>
  </si>
  <si>
    <t xml:space="preserve">Wolbachia_strain_wCer2_00460(208aa) </t>
  </si>
  <si>
    <t>81.25%</t>
  </si>
  <si>
    <t>peut être protéine jsute avant sur alignement car correspond plus en terme de taille, aussi 2 autres alignement sur même contigue dont celui retrouvé dans cifA lors du first screen</t>
  </si>
  <si>
    <t>KAG8290568.1</t>
  </si>
  <si>
    <t>Ce CIfA-like avait déjà été identifié mais il a été écarté lors de la première phylogénie, d'où le "?" dans la colonne malgré new = 0</t>
  </si>
  <si>
    <t>1 seul alignement</t>
  </si>
  <si>
    <t>1 seul alignement, RNA-seq intron features, aggregate (filtered)</t>
  </si>
  <si>
    <t>OJH31528.1</t>
  </si>
  <si>
    <t>OJH32953.1</t>
  </si>
  <si>
    <t>OJH32250.1</t>
  </si>
  <si>
    <t>Sequence</t>
  </si>
  <si>
    <t>Accession</t>
  </si>
  <si>
    <t>Cif.like</t>
  </si>
  <si>
    <t>taille</t>
  </si>
  <si>
    <t>Domain</t>
  </si>
  <si>
    <t>START</t>
  </si>
  <si>
    <t>END</t>
  </si>
  <si>
    <t>Blast</t>
  </si>
  <si>
    <t>Acleris hastiana_OZ375456.1_A</t>
  </si>
  <si>
    <t>AAA_ATPase_like</t>
  </si>
  <si>
    <t>Acleris hastiana_OZ375456.1_B</t>
  </si>
  <si>
    <t>PD__D_E_XK_nuclease</t>
  </si>
  <si>
    <t>Amblyptilia_punctidactyla_OZ389411.1</t>
  </si>
  <si>
    <t>STOP</t>
  </si>
  <si>
    <t>Anaeromyces robustus_ORX65545.1</t>
  </si>
  <si>
    <t>Anaeromyces robustus_ORX75427.1</t>
  </si>
  <si>
    <t>Anaglyptus mysticus_OZ404621.1</t>
  </si>
  <si>
    <t>Ankyrin_repeat</t>
  </si>
  <si>
    <t>DUF3491</t>
  </si>
  <si>
    <t>Latrotoxin</t>
  </si>
  <si>
    <t>Pore_forming_toxin_TcdA_B</t>
  </si>
  <si>
    <t>unknown</t>
  </si>
  <si>
    <t>Araneus_ventricosus_GBL78539.1</t>
  </si>
  <si>
    <t>Clubiona pallidula_OZ375492.1</t>
  </si>
  <si>
    <t>Dendroctonus ponderosae_XP_048521503.1</t>
  </si>
  <si>
    <t>Dendroctonus_ponderosae_KAH1011015.1</t>
  </si>
  <si>
    <t>Dendroctonus_ponderosae_XM_019910107.2</t>
  </si>
  <si>
    <t>Dendroctonus_ponderosae_XP_019765667.1</t>
  </si>
  <si>
    <t>Ditylenchus destructor_KAI1710873.1</t>
  </si>
  <si>
    <t>Ditylenchus destructor_KAI1712998.1</t>
  </si>
  <si>
    <t>Drosophila ananassae_EF611939.1</t>
  </si>
  <si>
    <t>Drosophila ananassae_EF611940.1</t>
  </si>
  <si>
    <t>Ectocarpus sp. 12 AP-2014_CAN0549207.1</t>
  </si>
  <si>
    <t>Gerris_buenoi_CAO4854541.1</t>
  </si>
  <si>
    <t>RTX_toxin</t>
  </si>
  <si>
    <t>Gerris_buenoi_CAO4855892.1</t>
  </si>
  <si>
    <t>Homalodisca_vitripennis_KAG8290545.1</t>
  </si>
  <si>
    <t>Homalodisca_vitripennis_KAG8290569.1</t>
  </si>
  <si>
    <t>OTU_like_cysteine_protease</t>
  </si>
  <si>
    <t>Laminarionema elsbetiae_CAN0359622.1</t>
  </si>
  <si>
    <t>Laodelphax striatellus_RZF45784.1</t>
  </si>
  <si>
    <t>Lutzomyia_longipalpis_XP_055690609.1</t>
  </si>
  <si>
    <t>Lutzomyia_longipalpis_XP_055690610.1</t>
  </si>
  <si>
    <t>Maniola hyperantus_XM_069499851.1</t>
  </si>
  <si>
    <t>Maniola hyperantus_XM_069499852.1</t>
  </si>
  <si>
    <t>Messor orientalis_OZ389556.1</t>
  </si>
  <si>
    <t>Mycetomoellerius zeteki_KYQ60003.1</t>
  </si>
  <si>
    <t>Neocallimastix californiae_ORY09044.1</t>
  </si>
  <si>
    <t>Neocallimastix californiae_ORY84572.1</t>
  </si>
  <si>
    <t>Neocallimastix lanati (nom. inval.)_KAG4082405.1</t>
  </si>
  <si>
    <t>Neocallimastix lanati (nom. inval.)_KAG4083499.1</t>
  </si>
  <si>
    <t>Neocallimastix sp. 'constans'_KAL6602446.1</t>
  </si>
  <si>
    <t>Neocallimastix sp. 'constans'_KAL6632934.1</t>
  </si>
  <si>
    <t>Phlebotomus_argentipes_XP_059612603.1</t>
  </si>
  <si>
    <t>Piromyces finnis_ORX42221.1</t>
  </si>
  <si>
    <t>Piromyces finnis_ORX57955.1</t>
  </si>
  <si>
    <t>Piromyces sp. E2_OUM62993.1</t>
  </si>
  <si>
    <t>Piromyces sp. E2_OUM67614.1</t>
  </si>
  <si>
    <t>Rhizophagus irregularis_PKY59383.1</t>
  </si>
  <si>
    <t>Timema_californicum_OE198796.1</t>
  </si>
  <si>
    <t>Trichonephila clavata_GFR32305.1</t>
  </si>
  <si>
    <t>Trichonephila inaurata madagascariensis_GFY74152.1</t>
  </si>
  <si>
    <t>Tritrichomonas musculus_KAK8847280.1</t>
  </si>
  <si>
    <t>Tritrichomonas musculus_KAK8894435.1</t>
  </si>
  <si>
    <t>Genome</t>
  </si>
  <si>
    <t>Drosophila_ananassae_NW_025319039.1</t>
  </si>
  <si>
    <t>Drosophila_ananassae_NW_025319040.1</t>
  </si>
  <si>
    <t>Drosophila_ananassae_NW_025319042.1</t>
  </si>
  <si>
    <t>Drosophila_ananassae_NW_025319046.1</t>
  </si>
  <si>
    <t xml:space="preserve">Abscondita terminalis_KAF5271477.1 </t>
  </si>
  <si>
    <t>ULP1</t>
  </si>
  <si>
    <t>Abscondita terminalis_KAF5271551.1</t>
  </si>
  <si>
    <t>Abscondita terminalis_KAF5279910.1</t>
  </si>
  <si>
    <t>Abscondita terminalis_KAF5279926.1</t>
  </si>
  <si>
    <t>Abscondita_terminalis_KAF5269421.1</t>
  </si>
  <si>
    <t xml:space="preserve">Araneus ventricosus_GBL98430.1 </t>
  </si>
  <si>
    <t>Araneus ventricosus_GBM63681.1</t>
  </si>
  <si>
    <t>Araneus ventricosus_GBM90577.1</t>
  </si>
  <si>
    <t>Araneus ventricosus_GBO46134.1</t>
  </si>
  <si>
    <t>Argiope bruennichi_KAF8789045.1</t>
  </si>
  <si>
    <t>Aricia agestis_XP_041974316.1</t>
  </si>
  <si>
    <t>Armadillidium vulgare_OJH30286.1</t>
  </si>
  <si>
    <t>Armadillidium vulgare_OJH31327.1</t>
  </si>
  <si>
    <t>Armadillidium vulgare_OJH31328.1</t>
  </si>
  <si>
    <t>Armadillidium vulgare_OJH31450.1</t>
  </si>
  <si>
    <t>Armadillidium vulgare_OJH31454.1</t>
  </si>
  <si>
    <t>Armadillidium vulgare_OJH32251.1</t>
  </si>
  <si>
    <t>Armadillidium vulgare_OJH32361.1</t>
  </si>
  <si>
    <t>Armadillidium vulgare_OJH32362.1</t>
  </si>
  <si>
    <t>Armadillidium vulgare_OJH32882.1</t>
  </si>
  <si>
    <t>Armadillidium vulgare_OJH32952.1</t>
  </si>
  <si>
    <t>Armadillidium_vulgare_OJH31527.1</t>
  </si>
  <si>
    <t>Brachionus_calyciflorus_CAF0888058.1</t>
  </si>
  <si>
    <t>Cinara cedri_VVC27379.1</t>
  </si>
  <si>
    <t>Cinara cedri_VVC39142.1</t>
  </si>
  <si>
    <t xml:space="preserve">Coccinella septempunctata_XP_044747138.1 </t>
  </si>
  <si>
    <t>Nephila pilipes_GFS42333.1</t>
  </si>
  <si>
    <t>Nephila pilipes_GFS67295.1</t>
  </si>
  <si>
    <t>Nephila_pilipes_GFS42335.1</t>
  </si>
  <si>
    <t>Oedothorax gibbosus_KAG8173535.1</t>
  </si>
  <si>
    <t xml:space="preserve">Ooceraea biroi_RLU16361.1 </t>
  </si>
  <si>
    <t>Pararge aegeria aegeria_CAH2210414.1</t>
  </si>
  <si>
    <t>Parasteatoda tepidariorum_XP_015922318.1</t>
  </si>
  <si>
    <t xml:space="preserve">Sitophilus oryzae_XP_030745916.1 </t>
  </si>
  <si>
    <t xml:space="preserve">Teleopsis dalmanni_XP_037931622.1 </t>
  </si>
  <si>
    <t>Teleopsis dalmanni_XP_037935032.1</t>
  </si>
  <si>
    <t xml:space="preserve">Temnothorax curvispinosus_XP_024879170.1 </t>
  </si>
  <si>
    <t>Trichonephila clavata_GFQ69431.1</t>
  </si>
  <si>
    <t>Trichonephila clavata_GFR08163.1</t>
  </si>
  <si>
    <t>Trichonephila clavata_GFR11649.1</t>
  </si>
  <si>
    <t>Trichonephila clavata_GFR11720.1</t>
  </si>
  <si>
    <t>Trichonephila clavipes_GFU91911.1</t>
  </si>
  <si>
    <t>Trichonephila inaurata madagascariensis_GFY80029.1</t>
  </si>
  <si>
    <t>Wasmannia auropunctata_XP_011686120.1</t>
  </si>
  <si>
    <t>Wasmannia auropunctata_XP_011686121.1</t>
  </si>
  <si>
    <t>SDHywe_01453</t>
  </si>
  <si>
    <t>SDPhma_01418</t>
  </si>
  <si>
    <t>SDSifa_01430</t>
  </si>
  <si>
    <t>sequence</t>
  </si>
  <si>
    <t>wVitA_00132</t>
  </si>
  <si>
    <t>wPipPel_00311</t>
  </si>
  <si>
    <t>wMel_00659</t>
  </si>
  <si>
    <t>wRi_00593_594</t>
  </si>
  <si>
    <t>wRi_01119_1120</t>
  </si>
  <si>
    <t>NW_025319039.1_Drosophila_ananassae</t>
  </si>
  <si>
    <t>wSpc_00153</t>
  </si>
  <si>
    <t>wSpc_00715</t>
  </si>
  <si>
    <t>wRi_00741</t>
  </si>
  <si>
    <t>NW_025319046.1_Drosophila_ananassae</t>
  </si>
  <si>
    <t>NW_025319042.1_Drosophila_ananassae</t>
  </si>
  <si>
    <t>SpiroDCM94_0002</t>
  </si>
  <si>
    <t>SpiroDCF100_0002</t>
  </si>
  <si>
    <t>wOrie_00131_00132</t>
  </si>
  <si>
    <t>wAdent_01078</t>
  </si>
  <si>
    <t>wVitA_00397</t>
  </si>
  <si>
    <t>wAlbB_00481</t>
  </si>
  <si>
    <t>wAdent_01125</t>
  </si>
  <si>
    <t>wOrie_00854</t>
  </si>
  <si>
    <t>wPipPel_00323</t>
  </si>
  <si>
    <t>wAlbB_00866</t>
  </si>
  <si>
    <t>wDacB188_00004</t>
  </si>
  <si>
    <t>MesenetGL2_00289</t>
  </si>
  <si>
    <t>MesenetL5_00422</t>
  </si>
  <si>
    <t>wStri84_00004</t>
  </si>
  <si>
    <t>wCauA_00399</t>
  </si>
  <si>
    <t>wCinUSA_00147_150</t>
  </si>
  <si>
    <t>wDipl90_00004_00005</t>
  </si>
  <si>
    <t>RECuiRiCimp_01474</t>
  </si>
  <si>
    <t>REDiaDallo3_00145</t>
  </si>
  <si>
    <t>RERhiCon_00085</t>
  </si>
  <si>
    <t>REOxoOopax6_00992_993</t>
  </si>
  <si>
    <t>RECeuObs_00567_00568</t>
  </si>
  <si>
    <t>MesenetL5_00647</t>
  </si>
  <si>
    <t>MesenetGL2_00341</t>
  </si>
  <si>
    <t>wDiac1_00003</t>
  </si>
  <si>
    <t>Armadillidium_vulgare_OJH32952.1</t>
  </si>
  <si>
    <t>Armadillidium_vulgare_OJH32251.1</t>
  </si>
  <si>
    <t>wTri2_00010</t>
  </si>
  <si>
    <t>wCer_00459</t>
  </si>
  <si>
    <t>wIrr_00722_0723</t>
  </si>
  <si>
    <t>wStri86_00004</t>
  </si>
  <si>
    <t>wCinUSA_00830_831</t>
  </si>
  <si>
    <t>wCauA_00749</t>
  </si>
  <si>
    <t>wAdent_01086</t>
  </si>
  <si>
    <t>wAcro5_00013</t>
  </si>
  <si>
    <t>RhooCS_00745_746</t>
  </si>
  <si>
    <t>RheiTIGMIC_01169</t>
  </si>
  <si>
    <t>Rnzgw532_00186</t>
  </si>
  <si>
    <t>RfelLSULb</t>
  </si>
  <si>
    <t>OmasOs18_00296L</t>
  </si>
  <si>
    <t>REOegW744_01508</t>
  </si>
  <si>
    <t>RerNten_03099_03101</t>
  </si>
  <si>
    <t>RerNten_03317_03318</t>
  </si>
  <si>
    <t>REPolTer_01684</t>
  </si>
  <si>
    <t>REIarboMS4_00021</t>
  </si>
  <si>
    <t>REPolTer_01729</t>
  </si>
  <si>
    <t>wStriCN_01633</t>
  </si>
  <si>
    <t>REPsaPante1_00254</t>
  </si>
  <si>
    <t>REDioLin_01112</t>
  </si>
  <si>
    <t>REDioRuf02_00993</t>
  </si>
  <si>
    <t>wMeg_01120</t>
  </si>
  <si>
    <t>wCon_00690</t>
  </si>
  <si>
    <t>wBor_00002</t>
  </si>
  <si>
    <t>RllRCFS32_00070</t>
  </si>
  <si>
    <t>RickHf_00499</t>
  </si>
  <si>
    <t>Rickettsiella_Opha_00924</t>
  </si>
  <si>
    <t>WolOegibB_01013</t>
  </si>
  <si>
    <t>WolOegibB_00494</t>
  </si>
  <si>
    <t>wOegib_00875</t>
  </si>
  <si>
    <t>RgraBWI</t>
  </si>
  <si>
    <t>REGlmRiTSETSE_00668</t>
  </si>
  <si>
    <t>REAspAen_00411_0412</t>
  </si>
  <si>
    <t>RECeuObs_00744_745M</t>
  </si>
  <si>
    <t>RtamAT1</t>
  </si>
  <si>
    <t>RambAcPa_01372_1374</t>
  </si>
  <si>
    <t>RambAc37_01158</t>
  </si>
  <si>
    <t>RambDW_01274_01275</t>
  </si>
  <si>
    <t>RambGAT_01151</t>
  </si>
  <si>
    <t>RambMeda_01243_01238</t>
  </si>
  <si>
    <t>RambAn13_00006</t>
  </si>
  <si>
    <t>REMetSeq</t>
  </si>
  <si>
    <t>RarbT170_0554_555M</t>
  </si>
  <si>
    <t>RhooRCCE_01273L</t>
  </si>
  <si>
    <t>Rlusi_Oerra_bin22_00945</t>
  </si>
  <si>
    <t>OtsuFPW1038_00762</t>
  </si>
  <si>
    <t>OtsuBor_01821</t>
  </si>
  <si>
    <t>OtsuKarp_01381</t>
  </si>
  <si>
    <t>OtsuAFSC7_00409</t>
  </si>
  <si>
    <t>OtsuIke_00800</t>
  </si>
  <si>
    <t>Dendroctonus_ponderosae_XM_048665546.1</t>
  </si>
  <si>
    <t>NW_025319040.1_Drosophila_ananassae</t>
  </si>
  <si>
    <t>Pararge_aegeria_aegeria</t>
  </si>
  <si>
    <t>SAMN25235950</t>
  </si>
  <si>
    <t>PRJNA800207</t>
  </si>
  <si>
    <t>JAKKQA010000040.1</t>
  </si>
  <si>
    <t>hypothetical protein</t>
  </si>
  <si>
    <t>GSAUP</t>
  </si>
  <si>
    <t>ASM2281489v1</t>
  </si>
  <si>
    <t>GCA_022814895.1</t>
  </si>
  <si>
    <t>Contig</t>
  </si>
  <si>
    <t>SAMEA12738679</t>
  </si>
  <si>
    <t>PRJEB49416</t>
  </si>
  <si>
    <t>CAKXAJ010007522.1</t>
  </si>
  <si>
    <t>GCA_934870175.1</t>
  </si>
  <si>
    <t>Pararge_aegeria</t>
  </si>
  <si>
    <t>SAMD00231155</t>
  </si>
  <si>
    <t>BMAO01039557.1</t>
  </si>
  <si>
    <t>Psw</t>
  </si>
  <si>
    <t>PRJDB10007</t>
  </si>
  <si>
    <t>GCA_019973975.1</t>
  </si>
  <si>
    <t>Tnct_1.0</t>
  </si>
  <si>
    <t>Yam55</t>
  </si>
  <si>
    <t>Wolbachia_strain_wPipel_00310(197aa)</t>
  </si>
  <si>
    <t>81.22%</t>
  </si>
  <si>
    <t>BMAO01016386.1</t>
  </si>
  <si>
    <t xml:space="preserve">Oedothorax_gibbosus_W744_W776 KAG8192653.1(245aa) </t>
  </si>
  <si>
    <t>90.69%</t>
  </si>
  <si>
    <t>GFR08166.1</t>
  </si>
  <si>
    <t>Plein de cifA candidats (plsueiurs 10aines), garder celui qui montrait le meilleur e value avec domaine de type IX mais très arbitraite, je serait d'avis de ne garder que les couples intrascaffold pour les phylogénies (À noter que le le hazard a fait que c'est également un cifA quia avit été identifié dans le premimer screening, pour autant comme je l'ai dit existence de plein d'autre cifA dans cet assembly (mais pas dans le contig d'intérêt initial :()),</t>
  </si>
  <si>
    <t>cas particulier, cifA déjà trouvé mais absent de cifA info car obtenu en décoposant une potéine ayant merge les deux cifs, sa séquence est disponbible dans second screen sequence complete</t>
  </si>
  <si>
    <t>CifA déjà identifié mais pas mis dans la première phylogénie, RNA-seq intron features, aggregate (filtered)</t>
  </si>
  <si>
    <t>Acleris_hastiana</t>
  </si>
  <si>
    <t>Acleris_hastiana_OZ375456.1</t>
  </si>
  <si>
    <t>OZ375456.1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</si>
</sst>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
  </numFmts>
  <fonts count="27" x14ac:knownFonts="1">
    <font>
      <sz val="11"/>
      <color theme="1"/>
      <name val="Calibri"/>
      <family val="2"/>
      <charset val="1"/>
    </font>
    <font>
      <sz val="11"/>
      <color theme="0"/>
      <name val="Calibri"/>
      <family val="2"/>
      <charset val="1"/>
    </font>
    <font>
      <u/>
      <sz val="11"/>
      <color theme="10"/>
      <name val="Calibri"/>
      <family val="2"/>
      <charset val="1"/>
    </font>
    <font>
      <sz val="11"/>
      <name val="Calibri"/>
      <family val="2"/>
      <charset val="1"/>
    </font>
    <font>
      <sz val="11"/>
      <color rgb="FF000000"/>
      <name val="Calibri"/>
      <family val="2"/>
      <charset val="1"/>
    </font>
    <font>
      <sz val="10"/>
      <color theme="1"/>
      <name val="Calibri"/>
      <family val="2"/>
      <charset val="1"/>
    </font>
    <font>
      <sz val="11"/>
      <color rgb="FF212121"/>
      <name val="Calibri"/>
      <family val="2"/>
      <charset val="1"/>
    </font>
    <font>
      <sz val="10"/>
      <color rgb="FF000000"/>
      <name val="Calibri"/>
      <family val="2"/>
      <charset val="1"/>
    </font>
    <font>
      <sz val="11"/>
      <color theme="0"/>
      <name val="Arial"/>
      <family val="2"/>
      <charset val="1"/>
    </font>
    <font>
      <sz val="11"/>
      <color theme="1"/>
      <name val="Arial"/>
      <family val="2"/>
      <charset val="1"/>
    </font>
    <font>
      <sz val="11"/>
      <color rgb="FF000000"/>
      <name val="Arial"/>
      <family val="2"/>
      <charset val="1"/>
    </font>
    <font>
      <u/>
      <sz val="11"/>
      <color theme="10"/>
      <name val="Arial"/>
      <family val="2"/>
      <charset val="1"/>
    </font>
    <font>
      <b/>
      <sz val="11"/>
      <color theme="0"/>
      <name val="Arial"/>
      <family val="2"/>
      <charset val="1"/>
    </font>
    <font>
      <sz val="11"/>
      <color rgb="FFFFFFFF"/>
      <name val="Arial"/>
      <family val="2"/>
      <charset val="1"/>
    </font>
    <font>
      <sz val="11"/>
      <color theme="1"/>
      <name val="Arial"/>
      <family val="2"/>
    </font>
    <font>
      <b/>
      <sz val="11"/>
      <color theme="1"/>
      <name val="Arial"/>
      <family val="2"/>
      <charset val="1"/>
    </font>
    <font>
      <b/>
      <sz val="11"/>
      <color theme="1"/>
      <name val="Calibri"/>
      <family val="2"/>
      <charset val="1"/>
    </font>
    <font>
      <sz val="11"/>
      <color theme="1"/>
      <name val="Calibri"/>
      <family val="2"/>
    </font>
    <font>
      <sz val="11"/>
      <color theme="0"/>
      <name val="Arial"/>
      <family val="2"/>
    </font>
    <font>
      <b/>
      <sz val="11"/>
      <color theme="0"/>
      <name val="Arial"/>
      <family val="2"/>
    </font>
    <font>
      <sz val="11"/>
      <color rgb="FFFFFFFF"/>
      <name val="Arial"/>
      <family val="2"/>
    </font>
    <font>
      <u/>
      <sz val="11"/>
      <color theme="10"/>
      <name val="Arial"/>
      <family val="2"/>
    </font>
    <font>
      <sz val="11"/>
      <color rgb="FF000000"/>
      <name val="Arial"/>
      <family val="2"/>
    </font>
    <font>
      <b/>
      <sz val="11"/>
      <color theme="1"/>
      <name val="Calibri"/>
      <family val="2"/>
    </font>
    <font>
      <b/>
      <sz val="11"/>
      <color theme="1"/>
      <name val="Arial"/>
      <family val="2"/>
    </font>
    <font>
      <b/>
      <sz val="11"/>
      <color theme="1"/>
      <name val="Calibri"/>
      <family val="2"/>
      <scheme val="minor"/>
    </font>
    <font>
      <sz val="11"/>
      <color rgb="FF212529"/>
      <name val="Arial"/>
      <family val="2"/>
    </font>
  </fonts>
  <fills count="17">
    <fill>
      <patternFill patternType="none"/>
    </fill>
    <fill>
      <patternFill patternType="gray125"/>
    </fill>
    <fill>
      <patternFill patternType="solid">
        <fgColor theme="4" tint="-0.249977111117893"/>
        <bgColor rgb="FF0563C1"/>
      </patternFill>
    </fill>
    <fill>
      <patternFill patternType="solid">
        <fgColor rgb="FF7030A0"/>
        <bgColor rgb="FF993366"/>
      </patternFill>
    </fill>
    <fill>
      <patternFill patternType="solid">
        <fgColor rgb="FFF5DBF5"/>
        <bgColor rgb="FFFBE5D6"/>
      </patternFill>
    </fill>
    <fill>
      <patternFill patternType="solid">
        <fgColor theme="5" tint="0.79989013336588644"/>
        <bgColor rgb="FFF5DBF5"/>
      </patternFill>
    </fill>
    <fill>
      <patternFill patternType="solid">
        <fgColor theme="9" tint="0.79989013336588644"/>
        <bgColor rgb="FFDEEBF7"/>
      </patternFill>
    </fill>
    <fill>
      <patternFill patternType="solid">
        <fgColor rgb="FFA2F6FF"/>
        <bgColor rgb="FF99CCFF"/>
      </patternFill>
    </fill>
    <fill>
      <patternFill patternType="solid">
        <fgColor rgb="FF9AA3E4"/>
        <bgColor rgb="FF969696"/>
      </patternFill>
    </fill>
    <fill>
      <patternFill patternType="solid">
        <fgColor rgb="FFCCCCFF"/>
        <bgColor rgb="FFE0E0E0"/>
      </patternFill>
    </fill>
    <fill>
      <patternFill patternType="solid">
        <fgColor rgb="FFFFFFFF"/>
        <bgColor rgb="FFE2F0D9"/>
      </patternFill>
    </fill>
    <fill>
      <patternFill patternType="solid">
        <fgColor theme="3"/>
        <bgColor rgb="FF333399"/>
      </patternFill>
    </fill>
    <fill>
      <patternFill patternType="solid">
        <fgColor rgb="FFFFDBB6"/>
        <bgColor rgb="FFFBE5D6"/>
      </patternFill>
    </fill>
    <fill>
      <patternFill patternType="solid">
        <fgColor theme="4" tint="0.79989013336588644"/>
        <bgColor rgb="FFE2F0D9"/>
      </patternFill>
    </fill>
    <fill>
      <patternFill patternType="solid">
        <fgColor rgb="FFA86FD3"/>
        <bgColor rgb="FF993366"/>
      </patternFill>
    </fill>
    <fill>
      <patternFill patternType="solid">
        <fgColor rgb="FFA86FD3"/>
        <bgColor indexed="64"/>
      </patternFill>
    </fill>
    <fill>
      <patternFill patternType="solid">
        <fgColor rgb="FFFFCCCC"/>
        <bgColor indexed="64"/>
      </patternFill>
    </fill>
  </fills>
  <borders count="10">
    <border>
      <left/>
      <right/>
      <top/>
      <bottom/>
      <diagonal/>
    </border>
    <border>
      <left/>
      <right/>
      <top style="medium">
        <color rgb="FFE0E0E0"/>
      </top>
      <bottom style="medium">
        <color rgb="FFE0E0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Border="0" applyProtection="0"/>
  </cellStyleXfs>
  <cellXfs count="173">
    <xf numFmtId="0" fontId="0" fillId="0" borderId="0" xfId="0"/>
    <xf numFmtId="0" fontId="0" fillId="0" borderId="0" xfId="0" applyAlignment="1">
      <alignment horizontal="center"/>
    </xf>
    <xf numFmtId="0" fontId="0" fillId="0" borderId="0" xfId="0" applyAlignment="1">
      <alignment horizontal="left"/>
    </xf>
    <xf numFmtId="0" fontId="0" fillId="0" borderId="0" xfId="0" applyFont="1" applyAlignment="1">
      <alignment horizontal="center"/>
    </xf>
    <xf numFmtId="0" fontId="1" fillId="2" borderId="0" xfId="0" applyFont="1" applyFill="1" applyAlignment="1">
      <alignment horizontal="center"/>
    </xf>
    <xf numFmtId="0" fontId="1" fillId="2" borderId="0" xfId="0" applyFont="1" applyFill="1" applyAlignment="1">
      <alignment horizontal="left"/>
    </xf>
    <xf numFmtId="0" fontId="0" fillId="0" borderId="0" xfId="0" applyAlignment="1">
      <alignment horizontal="center"/>
    </xf>
    <xf numFmtId="0" fontId="0" fillId="0" borderId="0" xfId="0" applyFont="1"/>
    <xf numFmtId="0" fontId="0" fillId="0" borderId="0" xfId="0" applyFont="1" applyAlignment="1">
      <alignment horizontal="left"/>
    </xf>
    <xf numFmtId="0" fontId="0" fillId="0" borderId="0" xfId="0" applyFont="1" applyAlignment="1"/>
    <xf numFmtId="0" fontId="0" fillId="0" borderId="0" xfId="0"/>
    <xf numFmtId="0" fontId="2" fillId="0" borderId="0" xfId="1" applyFont="1" applyBorder="1" applyAlignment="1" applyProtection="1"/>
    <xf numFmtId="0" fontId="3" fillId="0" borderId="0" xfId="0" applyFont="1" applyAlignment="1">
      <alignment horizontal="center"/>
    </xf>
    <xf numFmtId="0" fontId="0" fillId="0" borderId="0" xfId="0" applyBorder="1"/>
    <xf numFmtId="0" fontId="0" fillId="0" borderId="0" xfId="0" applyFont="1" applyBorder="1" applyAlignment="1"/>
    <xf numFmtId="0" fontId="0" fillId="0" borderId="0" xfId="0" applyBorder="1" applyAlignment="1">
      <alignment horizontal="center"/>
    </xf>
    <xf numFmtId="0" fontId="0" fillId="0" borderId="0" xfId="0" applyFont="1" applyAlignment="1">
      <alignment horizontal="center"/>
    </xf>
    <xf numFmtId="0" fontId="4"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horizontal="left"/>
    </xf>
    <xf numFmtId="0" fontId="4" fillId="0" borderId="0" xfId="0" applyFont="1" applyAlignment="1"/>
    <xf numFmtId="0" fontId="4"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xf>
    <xf numFmtId="0" fontId="0" fillId="0" borderId="0" xfId="0" applyAlignment="1">
      <alignment wrapText="1"/>
    </xf>
    <xf numFmtId="0" fontId="9" fillId="0" borderId="0" xfId="0" applyFont="1" applyAlignment="1">
      <alignment horizontal="center"/>
    </xf>
    <xf numFmtId="0" fontId="10" fillId="0" borderId="0" xfId="0" applyFont="1" applyAlignment="1"/>
    <xf numFmtId="0" fontId="11" fillId="0" borderId="0" xfId="1" applyFont="1" applyBorder="1" applyAlignment="1" applyProtection="1">
      <alignment horizontal="left" vertical="center"/>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11" fillId="0" borderId="0" xfId="1" applyFont="1" applyBorder="1" applyAlignment="1" applyProtection="1"/>
    <xf numFmtId="0" fontId="0" fillId="0" borderId="0" xfId="0"/>
    <xf numFmtId="0" fontId="9" fillId="0" borderId="0" xfId="0" applyFont="1" applyAlignment="1"/>
    <xf numFmtId="0" fontId="0" fillId="6" borderId="0" xfId="0" applyFont="1" applyFill="1" applyAlignment="1">
      <alignment horizontal="center"/>
    </xf>
    <xf numFmtId="0" fontId="9" fillId="0" borderId="0" xfId="1" applyFont="1" applyBorder="1" applyAlignment="1" applyProtection="1">
      <alignment horizontal="center" vertical="center"/>
    </xf>
    <xf numFmtId="0" fontId="9" fillId="0" borderId="0" xfId="1" applyFont="1" applyBorder="1" applyAlignment="1" applyProtection="1">
      <alignment horizontal="left" vertical="center"/>
    </xf>
    <xf numFmtId="0" fontId="9" fillId="0" borderId="0" xfId="1" applyFont="1" applyBorder="1" applyAlignment="1" applyProtection="1">
      <alignment vertical="center"/>
    </xf>
    <xf numFmtId="0" fontId="0" fillId="8" borderId="0" xfId="0" applyFont="1" applyFill="1" applyAlignment="1">
      <alignment horizontal="center"/>
    </xf>
    <xf numFmtId="0" fontId="0" fillId="9" borderId="0" xfId="0" applyFont="1" applyFill="1" applyAlignment="1">
      <alignment horizontal="center"/>
    </xf>
    <xf numFmtId="0" fontId="0" fillId="0" borderId="0" xfId="0" applyFont="1" applyBorder="1"/>
    <xf numFmtId="0" fontId="0" fillId="0" borderId="0" xfId="0" applyFont="1" applyBorder="1" applyAlignment="1">
      <alignment horizontal="center"/>
    </xf>
    <xf numFmtId="0" fontId="0" fillId="0" borderId="0" xfId="0" applyBorder="1" applyAlignment="1">
      <alignment horizontal="left"/>
    </xf>
    <xf numFmtId="0" fontId="0" fillId="0" borderId="0" xfId="0" applyBorder="1" applyAlignment="1">
      <alignment horizontal="center"/>
    </xf>
    <xf numFmtId="0" fontId="0" fillId="0" borderId="0" xfId="0" applyBorder="1"/>
    <xf numFmtId="0" fontId="8" fillId="11" borderId="0" xfId="0" applyFont="1" applyFill="1" applyBorder="1" applyAlignment="1">
      <alignment horizontal="center"/>
    </xf>
    <xf numFmtId="0" fontId="8" fillId="11" borderId="0" xfId="0" applyFont="1" applyFill="1" applyBorder="1" applyAlignment="1"/>
    <xf numFmtId="0" fontId="12" fillId="11" borderId="0" xfId="0" applyFont="1" applyFill="1" applyBorder="1" applyAlignment="1">
      <alignment horizontal="center"/>
    </xf>
    <xf numFmtId="0" fontId="13" fillId="11" borderId="0" xfId="0" applyFont="1" applyFill="1" applyBorder="1" applyAlignment="1">
      <alignment horizontal="center"/>
    </xf>
    <xf numFmtId="0" fontId="9" fillId="0" borderId="0" xfId="0" applyFont="1" applyBorder="1" applyAlignment="1">
      <alignment horizontal="center"/>
    </xf>
    <xf numFmtId="0" fontId="0" fillId="12" borderId="0" xfId="0" applyFont="1" applyFill="1" applyAlignment="1">
      <alignment horizontal="center"/>
    </xf>
    <xf numFmtId="0" fontId="9" fillId="0" borderId="0" xfId="0" applyFont="1" applyBorder="1"/>
    <xf numFmtId="0" fontId="9" fillId="0" borderId="0" xfId="0" applyFont="1" applyBorder="1" applyAlignment="1"/>
    <xf numFmtId="0" fontId="9" fillId="0" borderId="0" xfId="0" applyFont="1" applyBorder="1" applyAlignment="1"/>
    <xf numFmtId="0" fontId="9" fillId="6" borderId="0" xfId="0" applyFont="1" applyFill="1" applyBorder="1" applyAlignment="1">
      <alignment horizontal="center"/>
    </xf>
    <xf numFmtId="0" fontId="9" fillId="0" borderId="0" xfId="0" applyFont="1" applyBorder="1" applyAlignment="1">
      <alignment horizontal="center"/>
    </xf>
    <xf numFmtId="0" fontId="9" fillId="0" borderId="0" xfId="0" applyFont="1" applyBorder="1" applyAlignment="1">
      <alignment horizontal="left"/>
    </xf>
    <xf numFmtId="164" fontId="0" fillId="0" borderId="0" xfId="0" applyNumberFormat="1" applyFont="1" applyAlignment="1">
      <alignment horizontal="center" wrapText="1"/>
    </xf>
    <xf numFmtId="11" fontId="0" fillId="0" borderId="0" xfId="0" applyNumberFormat="1" applyFont="1" applyAlignment="1">
      <alignment horizontal="center" wrapText="1"/>
    </xf>
    <xf numFmtId="0" fontId="0" fillId="0" borderId="0" xfId="0" applyFont="1" applyAlignment="1">
      <alignment horizontal="center" wrapText="1"/>
    </xf>
    <xf numFmtId="0" fontId="14" fillId="0" borderId="0" xfId="0" applyFont="1" applyBorder="1" applyAlignment="1">
      <alignment horizontal="center"/>
    </xf>
    <xf numFmtId="0" fontId="9" fillId="9" borderId="0" xfId="0" applyFont="1" applyFill="1" applyBorder="1" applyAlignment="1">
      <alignment horizontal="center"/>
    </xf>
    <xf numFmtId="0" fontId="9" fillId="0" borderId="0" xfId="0" applyFont="1" applyAlignment="1">
      <alignment horizontal="center" wrapText="1"/>
    </xf>
    <xf numFmtId="0" fontId="15" fillId="0" borderId="0" xfId="0" applyFont="1" applyBorder="1"/>
    <xf numFmtId="0" fontId="15" fillId="0" borderId="0" xfId="0" applyFont="1" applyBorder="1" applyAlignment="1">
      <alignment horizontal="center"/>
    </xf>
    <xf numFmtId="0" fontId="15" fillId="0" borderId="0" xfId="0" applyFont="1" applyBorder="1" applyAlignment="1">
      <alignment horizontal="center"/>
    </xf>
    <xf numFmtId="0" fontId="15" fillId="0" borderId="0" xfId="0" applyFont="1" applyBorder="1" applyAlignment="1">
      <alignment horizontal="left"/>
    </xf>
    <xf numFmtId="0" fontId="16" fillId="0" borderId="0" xfId="0" applyFont="1" applyBorder="1" applyAlignment="1">
      <alignment horizontal="center"/>
    </xf>
    <xf numFmtId="0" fontId="16" fillId="0" borderId="0" xfId="0" applyFont="1" applyBorder="1"/>
    <xf numFmtId="0" fontId="10" fillId="0" borderId="0" xfId="0" applyFont="1" applyBorder="1" applyAlignment="1"/>
    <xf numFmtId="0" fontId="9" fillId="13" borderId="0" xfId="0" applyFont="1" applyFill="1" applyBorder="1" applyAlignment="1">
      <alignment horizontal="center"/>
    </xf>
    <xf numFmtId="164" fontId="9" fillId="0" borderId="0" xfId="0" applyNumberFormat="1" applyFont="1" applyAlignment="1">
      <alignment horizontal="center" wrapText="1"/>
    </xf>
    <xf numFmtId="11" fontId="9" fillId="0" borderId="0" xfId="0" applyNumberFormat="1" applyFont="1" applyAlignment="1">
      <alignment horizontal="center" wrapText="1"/>
    </xf>
    <xf numFmtId="0" fontId="17" fillId="0" borderId="0" xfId="0" applyFont="1" applyBorder="1" applyAlignment="1">
      <alignment horizontal="center"/>
    </xf>
    <xf numFmtId="0" fontId="18" fillId="3" borderId="0" xfId="0" applyFont="1" applyFill="1" applyAlignment="1">
      <alignment horizontal="center"/>
    </xf>
    <xf numFmtId="0" fontId="18" fillId="11" borderId="0" xfId="0" applyFont="1" applyFill="1" applyBorder="1" applyAlignment="1">
      <alignment horizontal="center"/>
    </xf>
    <xf numFmtId="0" fontId="19" fillId="11" borderId="0" xfId="0" applyFont="1" applyFill="1" applyBorder="1" applyAlignment="1">
      <alignment horizontal="center"/>
    </xf>
    <xf numFmtId="0" fontId="20" fillId="11" borderId="0" xfId="0" applyFont="1" applyFill="1" applyBorder="1" applyAlignment="1">
      <alignment horizontal="center"/>
    </xf>
    <xf numFmtId="0" fontId="14" fillId="0" borderId="0" xfId="1" applyFont="1" applyBorder="1" applyAlignment="1" applyProtection="1">
      <alignment horizontal="left" vertical="center"/>
    </xf>
    <xf numFmtId="0" fontId="21" fillId="0" borderId="0" xfId="1" applyFont="1" applyBorder="1" applyAlignment="1" applyProtection="1">
      <alignment horizontal="left" vertical="center"/>
    </xf>
    <xf numFmtId="0" fontId="14" fillId="0" borderId="0" xfId="0" applyFont="1"/>
    <xf numFmtId="0" fontId="14" fillId="0" borderId="0" xfId="0" applyFont="1" applyAlignment="1"/>
    <xf numFmtId="0" fontId="22" fillId="0" borderId="0" xfId="0" applyFont="1"/>
    <xf numFmtId="0" fontId="14" fillId="0" borderId="0" xfId="0" applyFont="1" applyAlignment="1">
      <alignment horizontal="center"/>
    </xf>
    <xf numFmtId="0" fontId="14" fillId="7" borderId="0" xfId="0" applyFont="1" applyFill="1" applyAlignment="1">
      <alignment horizontal="center"/>
    </xf>
    <xf numFmtId="0" fontId="14" fillId="0" borderId="0" xfId="0" applyFont="1" applyAlignment="1">
      <alignment horizontal="left"/>
    </xf>
    <xf numFmtId="0" fontId="14" fillId="0" borderId="0" xfId="0" applyFont="1" applyBorder="1" applyAlignment="1">
      <alignment horizontal="left"/>
    </xf>
    <xf numFmtId="164" fontId="14" fillId="0" borderId="0" xfId="0" applyNumberFormat="1" applyFont="1" applyAlignment="1">
      <alignment horizontal="center" wrapText="1"/>
    </xf>
    <xf numFmtId="11" fontId="14" fillId="0" borderId="0" xfId="0" applyNumberFormat="1" applyFont="1" applyAlignment="1">
      <alignment horizontal="center" wrapText="1"/>
    </xf>
    <xf numFmtId="0" fontId="14" fillId="0" borderId="0" xfId="0" applyFont="1" applyAlignment="1">
      <alignment horizontal="center" wrapText="1"/>
    </xf>
    <xf numFmtId="0" fontId="14" fillId="0" borderId="0" xfId="1" applyFont="1" applyBorder="1" applyAlignment="1" applyProtection="1">
      <alignment horizontal="center" vertical="center"/>
    </xf>
    <xf numFmtId="0" fontId="14" fillId="0" borderId="0" xfId="0" applyFont="1" applyBorder="1"/>
    <xf numFmtId="0" fontId="21" fillId="0" borderId="0" xfId="1" applyFont="1" applyBorder="1" applyAlignment="1" applyProtection="1"/>
    <xf numFmtId="0" fontId="14" fillId="6" borderId="0" xfId="0" applyFont="1" applyFill="1" applyAlignment="1">
      <alignment horizontal="center"/>
    </xf>
    <xf numFmtId="0" fontId="14" fillId="9" borderId="0" xfId="0" applyFont="1" applyFill="1" applyAlignment="1">
      <alignment horizontal="center"/>
    </xf>
    <xf numFmtId="0" fontId="14" fillId="8" borderId="0" xfId="0" applyFont="1" applyFill="1" applyAlignment="1">
      <alignment horizontal="center"/>
    </xf>
    <xf numFmtId="0" fontId="22" fillId="0" borderId="0" xfId="0" applyFont="1" applyAlignment="1"/>
    <xf numFmtId="0" fontId="14" fillId="12" borderId="0" xfId="0" applyFont="1" applyFill="1" applyAlignment="1">
      <alignment horizontal="center"/>
    </xf>
    <xf numFmtId="9" fontId="14" fillId="0" borderId="0" xfId="0" applyNumberFormat="1" applyFont="1"/>
    <xf numFmtId="11" fontId="14" fillId="0" borderId="0" xfId="0" applyNumberFormat="1" applyFont="1"/>
    <xf numFmtId="0" fontId="14" fillId="0" borderId="0" xfId="0" applyFont="1" applyBorder="1" applyAlignment="1"/>
    <xf numFmtId="0" fontId="14" fillId="9" borderId="0" xfId="0" applyFont="1" applyFill="1" applyBorder="1" applyAlignment="1">
      <alignment horizontal="center"/>
    </xf>
    <xf numFmtId="0" fontId="23" fillId="0" borderId="0" xfId="0" applyFont="1"/>
    <xf numFmtId="0" fontId="14" fillId="0" borderId="0" xfId="0" applyFont="1" applyFill="1" applyBorder="1" applyAlignment="1">
      <alignment horizontal="center"/>
    </xf>
    <xf numFmtId="164" fontId="14" fillId="0" borderId="0" xfId="0" applyNumberFormat="1" applyFont="1" applyBorder="1" applyAlignment="1">
      <alignment horizontal="center" wrapText="1"/>
    </xf>
    <xf numFmtId="11" fontId="14" fillId="0" borderId="0" xfId="0" applyNumberFormat="1" applyFont="1" applyBorder="1" applyAlignment="1">
      <alignment horizontal="center" wrapText="1"/>
    </xf>
    <xf numFmtId="0" fontId="14" fillId="0" borderId="0" xfId="0" applyFont="1" applyBorder="1" applyAlignment="1">
      <alignment horizontal="center" wrapText="1"/>
    </xf>
    <xf numFmtId="0" fontId="14" fillId="0" borderId="6" xfId="0" applyFont="1" applyBorder="1" applyAlignment="1">
      <alignment horizontal="center"/>
    </xf>
    <xf numFmtId="0" fontId="14" fillId="0" borderId="8" xfId="0" applyFont="1" applyBorder="1" applyAlignment="1">
      <alignment horizontal="center"/>
    </xf>
    <xf numFmtId="0" fontId="14" fillId="0" borderId="8" xfId="0" applyFont="1" applyBorder="1" applyAlignment="1">
      <alignment horizontal="left"/>
    </xf>
    <xf numFmtId="0" fontId="14" fillId="0" borderId="5" xfId="0" applyFont="1" applyFill="1" applyBorder="1" applyAlignment="1">
      <alignment horizontal="center"/>
    </xf>
    <xf numFmtId="0" fontId="14" fillId="0" borderId="0" xfId="0" applyFont="1" applyFill="1" applyBorder="1"/>
    <xf numFmtId="0" fontId="14" fillId="0" borderId="5" xfId="0" applyFont="1" applyBorder="1" applyAlignment="1">
      <alignment horizontal="center"/>
    </xf>
    <xf numFmtId="0" fontId="22" fillId="0" borderId="0" xfId="0" applyFont="1" applyBorder="1" applyAlignment="1"/>
    <xf numFmtId="0" fontId="22" fillId="0" borderId="0" xfId="0" applyFont="1" applyBorder="1" applyAlignment="1">
      <alignment horizontal="center"/>
    </xf>
    <xf numFmtId="0" fontId="22" fillId="0" borderId="0" xfId="0" applyFont="1" applyBorder="1" applyAlignment="1">
      <alignment horizontal="center" vertical="center"/>
    </xf>
    <xf numFmtId="0" fontId="14" fillId="4" borderId="0" xfId="0" applyFont="1" applyFill="1" applyBorder="1" applyAlignment="1">
      <alignment horizontal="center"/>
    </xf>
    <xf numFmtId="0" fontId="14" fillId="5" borderId="0" xfId="0" applyFont="1" applyFill="1" applyBorder="1" applyAlignment="1">
      <alignment horizontal="center"/>
    </xf>
    <xf numFmtId="0" fontId="14" fillId="6" borderId="0" xfId="0" applyFont="1" applyFill="1" applyBorder="1" applyAlignment="1">
      <alignment horizontal="center"/>
    </xf>
    <xf numFmtId="0" fontId="22" fillId="0" borderId="0" xfId="0" applyFont="1" applyBorder="1"/>
    <xf numFmtId="0" fontId="14" fillId="7" borderId="0" xfId="0" applyFont="1" applyFill="1" applyBorder="1" applyAlignment="1">
      <alignment horizontal="center"/>
    </xf>
    <xf numFmtId="0" fontId="14" fillId="8" borderId="0" xfId="0" applyFont="1" applyFill="1" applyBorder="1" applyAlignment="1">
      <alignment horizontal="center"/>
    </xf>
    <xf numFmtId="0" fontId="21" fillId="0" borderId="0" xfId="1" applyFont="1" applyBorder="1" applyAlignment="1" applyProtection="1">
      <alignment horizontal="center"/>
    </xf>
    <xf numFmtId="0" fontId="14" fillId="0" borderId="8" xfId="0" applyFont="1" applyBorder="1"/>
    <xf numFmtId="0" fontId="14" fillId="0" borderId="8" xfId="0" applyFont="1" applyBorder="1" applyAlignment="1"/>
    <xf numFmtId="9" fontId="14" fillId="0" borderId="0" xfId="0" applyNumberFormat="1" applyFont="1" applyFill="1" applyBorder="1" applyAlignment="1">
      <alignment horizontal="center"/>
    </xf>
    <xf numFmtId="11" fontId="14" fillId="0" borderId="0" xfId="0" applyNumberFormat="1" applyFont="1" applyFill="1" applyBorder="1" applyAlignment="1">
      <alignment horizontal="center"/>
    </xf>
    <xf numFmtId="0" fontId="14" fillId="0" borderId="0" xfId="0" applyFont="1" applyFill="1" applyBorder="1" applyAlignment="1">
      <alignment horizontal="left"/>
    </xf>
    <xf numFmtId="0" fontId="0" fillId="0" borderId="0" xfId="0" applyFont="1" applyFill="1" applyAlignment="1"/>
    <xf numFmtId="0" fontId="2" fillId="0" borderId="0" xfId="1" applyFont="1" applyFill="1" applyBorder="1" applyAlignment="1" applyProtection="1"/>
    <xf numFmtId="0" fontId="0" fillId="0" borderId="0" xfId="0" applyFont="1" applyFill="1"/>
    <xf numFmtId="0" fontId="0" fillId="0" borderId="0" xfId="0" applyFont="1" applyFill="1" applyBorder="1" applyAlignment="1"/>
    <xf numFmtId="0" fontId="4" fillId="0" borderId="0" xfId="0" applyFont="1" applyFill="1" applyAlignment="1"/>
    <xf numFmtId="0" fontId="0" fillId="0" borderId="0" xfId="0" applyFill="1" applyAlignment="1">
      <alignment horizontal="center"/>
    </xf>
    <xf numFmtId="0" fontId="17" fillId="0" borderId="0" xfId="0" applyFont="1"/>
    <xf numFmtId="0" fontId="25" fillId="0" borderId="0" xfId="0" applyFont="1"/>
    <xf numFmtId="0" fontId="18" fillId="14" borderId="0" xfId="0" applyFont="1" applyFill="1" applyAlignment="1">
      <alignment horizontal="center"/>
    </xf>
    <xf numFmtId="0" fontId="18" fillId="15" borderId="0" xfId="0" applyFont="1" applyFill="1" applyAlignment="1">
      <alignment horizontal="center"/>
    </xf>
    <xf numFmtId="0" fontId="22" fillId="0" borderId="0" xfId="0" applyFont="1" applyAlignment="1">
      <alignment horizontal="center"/>
    </xf>
    <xf numFmtId="0" fontId="22" fillId="0" borderId="0" xfId="0" applyFont="1" applyAlignment="1">
      <alignment horizontal="center" vertical="center"/>
    </xf>
    <xf numFmtId="0" fontId="14" fillId="4" borderId="0" xfId="0" applyFont="1" applyFill="1" applyAlignment="1">
      <alignment horizontal="center"/>
    </xf>
    <xf numFmtId="0" fontId="14" fillId="5" borderId="0" xfId="0" applyFont="1" applyFill="1" applyAlignment="1">
      <alignment horizontal="center"/>
    </xf>
    <xf numFmtId="0" fontId="14" fillId="0" borderId="0" xfId="1" applyFont="1" applyBorder="1" applyAlignment="1" applyProtection="1">
      <alignment vertical="center"/>
    </xf>
    <xf numFmtId="0" fontId="21" fillId="0" borderId="0" xfId="1" applyFont="1"/>
    <xf numFmtId="0" fontId="14" fillId="0" borderId="0" xfId="0" applyFont="1" applyFill="1" applyAlignment="1">
      <alignment horizontal="center"/>
    </xf>
    <xf numFmtId="0" fontId="26" fillId="0" borderId="0" xfId="0" applyFont="1" applyAlignment="1">
      <alignment horizontal="left" vertical="center"/>
    </xf>
    <xf numFmtId="0" fontId="21" fillId="0" borderId="0" xfId="1" applyFont="1" applyBorder="1" applyAlignment="1" applyProtection="1">
      <alignment horizontal="center" vertical="center" wrapText="1"/>
    </xf>
    <xf numFmtId="0" fontId="21" fillId="0" borderId="0" xfId="1" applyFont="1" applyBorder="1" applyAlignment="1" applyProtection="1">
      <alignment horizontal="center" vertical="center"/>
    </xf>
    <xf numFmtId="0" fontId="22" fillId="0" borderId="0" xfId="0" applyFont="1" applyAlignment="1">
      <alignment horizontal="left"/>
    </xf>
    <xf numFmtId="0" fontId="14" fillId="10" borderId="1" xfId="0" applyFont="1" applyFill="1" applyBorder="1" applyAlignment="1">
      <alignment horizontal="left" vertical="center"/>
    </xf>
    <xf numFmtId="0" fontId="21" fillId="0" borderId="0" xfId="1" applyFont="1" applyBorder="1" applyAlignment="1" applyProtection="1">
      <alignment horizontal="left"/>
    </xf>
    <xf numFmtId="0" fontId="14" fillId="0" borderId="0" xfId="0" applyFont="1" applyAlignment="1">
      <alignment horizontal="left" wrapText="1"/>
    </xf>
    <xf numFmtId="0" fontId="24" fillId="0" borderId="3" xfId="0" applyFont="1" applyFill="1" applyBorder="1" applyAlignment="1">
      <alignment horizontal="center"/>
    </xf>
    <xf numFmtId="0" fontId="24" fillId="0" borderId="0" xfId="0" applyFont="1" applyFill="1" applyBorder="1" applyAlignment="1">
      <alignment horizontal="center"/>
    </xf>
    <xf numFmtId="0" fontId="14" fillId="0" borderId="6" xfId="0" applyFont="1" applyFill="1" applyBorder="1" applyAlignment="1">
      <alignment horizontal="center"/>
    </xf>
    <xf numFmtId="0" fontId="23" fillId="0" borderId="0" xfId="0" applyFont="1" applyBorder="1"/>
    <xf numFmtId="0" fontId="21" fillId="0" borderId="0" xfId="1" applyFont="1" applyBorder="1"/>
    <xf numFmtId="0" fontId="21" fillId="0" borderId="8" xfId="1" applyFont="1" applyBorder="1"/>
    <xf numFmtId="0" fontId="14" fillId="0" borderId="8" xfId="0" applyFont="1" applyFill="1" applyBorder="1" applyAlignment="1">
      <alignment horizontal="center"/>
    </xf>
    <xf numFmtId="0" fontId="0" fillId="0" borderId="8" xfId="0" applyBorder="1"/>
    <xf numFmtId="0" fontId="14" fillId="0" borderId="7" xfId="0" applyFont="1" applyFill="1" applyBorder="1" applyAlignment="1">
      <alignment horizontal="center"/>
    </xf>
    <xf numFmtId="9" fontId="14" fillId="0" borderId="0" xfId="0" applyNumberFormat="1" applyFont="1" applyBorder="1" applyAlignment="1">
      <alignment horizontal="center"/>
    </xf>
    <xf numFmtId="11" fontId="14" fillId="0" borderId="0" xfId="0" applyNumberFormat="1" applyFont="1" applyBorder="1" applyAlignment="1">
      <alignment horizontal="center"/>
    </xf>
    <xf numFmtId="0" fontId="24" fillId="0" borderId="0" xfId="0" applyFont="1" applyFill="1" applyBorder="1" applyAlignment="1">
      <alignment horizontal="left"/>
    </xf>
    <xf numFmtId="9" fontId="14" fillId="0" borderId="8" xfId="0" applyNumberFormat="1" applyFont="1" applyBorder="1" applyAlignment="1">
      <alignment horizontal="center"/>
    </xf>
    <xf numFmtId="11" fontId="14" fillId="0" borderId="8" xfId="0" applyNumberFormat="1" applyFont="1" applyBorder="1" applyAlignment="1">
      <alignment horizontal="center"/>
    </xf>
    <xf numFmtId="0" fontId="14" fillId="16" borderId="8" xfId="0" applyFont="1" applyFill="1" applyBorder="1" applyAlignment="1">
      <alignment horizontal="center"/>
    </xf>
    <xf numFmtId="0" fontId="24" fillId="0" borderId="2" xfId="0" applyFont="1" applyFill="1" applyBorder="1" applyAlignment="1">
      <alignment horizontal="center"/>
    </xf>
    <xf numFmtId="0" fontId="24" fillId="0" borderId="3" xfId="0" applyFont="1" applyFill="1" applyBorder="1" applyAlignment="1">
      <alignment horizontal="center"/>
    </xf>
    <xf numFmtId="0" fontId="24" fillId="0" borderId="9" xfId="0" applyFont="1" applyFill="1" applyBorder="1" applyAlignment="1">
      <alignment horizontal="center"/>
    </xf>
    <xf numFmtId="0" fontId="19" fillId="0" borderId="9" xfId="0" applyFont="1" applyFill="1" applyBorder="1" applyAlignment="1">
      <alignment horizontal="center"/>
    </xf>
    <xf numFmtId="0" fontId="19" fillId="0" borderId="2" xfId="0" applyFont="1" applyFill="1" applyBorder="1" applyAlignment="1">
      <alignment horizontal="center"/>
    </xf>
    <xf numFmtId="0" fontId="24" fillId="0" borderId="4" xfId="0" applyFont="1" applyFill="1" applyBorder="1" applyAlignment="1">
      <alignment horizontal="center"/>
    </xf>
  </cellXfs>
  <cellStyles count="2">
    <cellStyle name="Lien hypertexte" xfId="1" builtinId="8"/>
    <cellStyle name="Normal" xfId="0" builtinId="0"/>
  </cellStyles>
  <dxfs count="14">
    <dxf>
      <fill>
        <patternFill>
          <bgColor theme="9"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E0E0"/>
      <rgbColor rgb="FF808080"/>
      <rgbColor rgb="FF9AA3E4"/>
      <rgbColor rgb="FF7030A0"/>
      <rgbColor rgb="FFFBE5D6"/>
      <rgbColor rgb="FFDE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A2F6FF"/>
      <rgbColor rgb="FFE2F0D9"/>
      <rgbColor rgb="FFF5DBF5"/>
      <rgbColor rgb="FF99CCFF"/>
      <rgbColor rgb="FFFF99CC"/>
      <rgbColor rgb="FFCC99FF"/>
      <rgbColor rgb="FFFFDBB6"/>
      <rgbColor rgb="FF2E75B6"/>
      <rgbColor rgb="FF33CCCC"/>
      <rgbColor rgb="FF99CC00"/>
      <rgbColor rgb="FFFFCC00"/>
      <rgbColor rgb="FFFF9900"/>
      <rgbColor rgb="FFFF6600"/>
      <rgbColor rgb="FF44546A"/>
      <rgbColor rgb="FF969696"/>
      <rgbColor rgb="FF003366"/>
      <rgbColor rgb="FF339966"/>
      <rgbColor rgb="FF003300"/>
      <rgbColor rgb="FF212121"/>
      <rgbColor rgb="FF993300"/>
      <rgbColor rgb="FF993366"/>
      <rgbColor rgb="FF333399"/>
      <rgbColor rgb="FF212529"/>
      <rgbColor rgb="00003366"/>
      <rgbColor rgb="00339966"/>
      <rgbColor rgb="00003300"/>
      <rgbColor rgb="00333300"/>
      <rgbColor rgb="00993300"/>
      <rgbColor rgb="00993366"/>
      <rgbColor rgb="00333399"/>
      <rgbColor rgb="00333333"/>
    </indexedColors>
    <mruColors>
      <color rgb="FFFFCCCC"/>
      <color rgb="FFEAEAEA"/>
      <color rgb="FFA86FD3"/>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protein/XP_011686120.1/" TargetMode="External"/><Relationship Id="rId3" Type="http://schemas.openxmlformats.org/officeDocument/2006/relationships/hyperlink" Target="https://www.ncbi.nlm.nih.gov/protein/KAF5271551.1" TargetMode="External"/><Relationship Id="rId7" Type="http://schemas.openxmlformats.org/officeDocument/2006/relationships/hyperlink" Target="https://www.ncbi.nlm.nih.gov/protein/XP_024879170.1" TargetMode="External"/><Relationship Id="rId2" Type="http://schemas.openxmlformats.org/officeDocument/2006/relationships/hyperlink" Target="https://www.ncbi.nlm.nih.gov/protein/KAF5271477.1" TargetMode="External"/><Relationship Id="rId1" Type="http://schemas.openxmlformats.org/officeDocument/2006/relationships/hyperlink" Target="https://www.ncbi.nlm.nih.gov/protein/KAF5271477.1" TargetMode="External"/><Relationship Id="rId6" Type="http://schemas.openxmlformats.org/officeDocument/2006/relationships/hyperlink" Target="https://www.ncbi.nlm.nih.gov/protein/XP_024879170.1" TargetMode="External"/><Relationship Id="rId11" Type="http://schemas.openxmlformats.org/officeDocument/2006/relationships/hyperlink" Target="https://www.ncbi.nlm.nih.gov/protein/XP_011686121.1" TargetMode="External"/><Relationship Id="rId5" Type="http://schemas.openxmlformats.org/officeDocument/2006/relationships/hyperlink" Target="https://www.ncbi.nlm.nih.gov/protein/KAF5279926.1" TargetMode="External"/><Relationship Id="rId10" Type="http://schemas.openxmlformats.org/officeDocument/2006/relationships/hyperlink" Target="https://www.ncbi.nlm.nih.gov/protein/XP_011686121.1" TargetMode="External"/><Relationship Id="rId4" Type="http://schemas.openxmlformats.org/officeDocument/2006/relationships/hyperlink" Target="https://www.ncbi.nlm.nih.gov/protein/KAF5279910.1" TargetMode="External"/><Relationship Id="rId9" Type="http://schemas.openxmlformats.org/officeDocument/2006/relationships/hyperlink" Target="https://www.ncbi.nlm.nih.gov/protein/XP_011686120.1/"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ncbi.nlm.nih.gov/bioproject/PRJEB43239" TargetMode="External"/><Relationship Id="rId21" Type="http://schemas.openxmlformats.org/officeDocument/2006/relationships/hyperlink" Target="https://www.ncbi.nlm.nih.gov/bioproject/PRJDB7092" TargetMode="External"/><Relationship Id="rId42" Type="http://schemas.openxmlformats.org/officeDocument/2006/relationships/hyperlink" Target="https://www.ncbi.nlm.nih.gov/bioproject/PRJNA800207" TargetMode="External"/><Relationship Id="rId47" Type="http://schemas.openxmlformats.org/officeDocument/2006/relationships/hyperlink" Target="https://www.ncbi.nlm.nih.gov/biosample/SAMN13901672" TargetMode="External"/><Relationship Id="rId63" Type="http://schemas.openxmlformats.org/officeDocument/2006/relationships/hyperlink" Target="https://www.ncbi.nlm.nih.gov/biosample/SAMN16793775" TargetMode="External"/><Relationship Id="rId68" Type="http://schemas.openxmlformats.org/officeDocument/2006/relationships/hyperlink" Target="https://www.ncbi.nlm.nih.gov/datasets/genome/GCA_934870175.1/" TargetMode="External"/><Relationship Id="rId7" Type="http://schemas.openxmlformats.org/officeDocument/2006/relationships/hyperlink" Target="https://www.ncbi.nlm.nih.gov/bioproject/PRJNA765704" TargetMode="External"/><Relationship Id="rId71" Type="http://schemas.openxmlformats.org/officeDocument/2006/relationships/hyperlink" Target="https://www.ncbi.nlm.nih.gov/nucleotide/CDWWKY010000139.1?report=genbank&amp;log$=nuclalign&amp;blast_rank=1&amp;RID=WZ665MK3014" TargetMode="External"/><Relationship Id="rId2" Type="http://schemas.openxmlformats.org/officeDocument/2006/relationships/hyperlink" Target="https://www.ncbi.nlm.nih.gov/datasets/genome/GCF_017639315.1/" TargetMode="External"/><Relationship Id="rId16" Type="http://schemas.openxmlformats.org/officeDocument/2006/relationships/hyperlink" Target="https://www.ncbi.nlm.nih.gov/bioproject/PRJNA318167" TargetMode="External"/><Relationship Id="rId29" Type="http://schemas.openxmlformats.org/officeDocument/2006/relationships/hyperlink" Target="https://www.ncbi.nlm.nih.gov/datasets/genome/GCF_020466585.1/" TargetMode="External"/><Relationship Id="rId11" Type="http://schemas.openxmlformats.org/officeDocument/2006/relationships/hyperlink" Target="https://www.ncbi.nlm.nih.gov/bioproject/PRJNA556938" TargetMode="External"/><Relationship Id="rId24" Type="http://schemas.openxmlformats.org/officeDocument/2006/relationships/hyperlink" Target="https://www.ncbi.nlm.nih.gov/bioproject/PRJNA1019723" TargetMode="External"/><Relationship Id="rId32" Type="http://schemas.openxmlformats.org/officeDocument/2006/relationships/hyperlink" Target="https://www.ncbi.nlm.nih.gov/bioproject/PRJNA846874" TargetMode="External"/><Relationship Id="rId37" Type="http://schemas.openxmlformats.org/officeDocument/2006/relationships/hyperlink" Target="https://www.ncbi.nlm.nih.gov/datasets/genome/GCF_024334085.1/" TargetMode="External"/><Relationship Id="rId40" Type="http://schemas.openxmlformats.org/officeDocument/2006/relationships/hyperlink" Target="https://www.ncbi.nlm.nih.gov/datasets/genome/GCF_024334085.1/" TargetMode="External"/><Relationship Id="rId45" Type="http://schemas.openxmlformats.org/officeDocument/2006/relationships/hyperlink" Target="https://www.ncbi.nlm.nih.gov/biosample/SAMN13901672" TargetMode="External"/><Relationship Id="rId53" Type="http://schemas.openxmlformats.org/officeDocument/2006/relationships/hyperlink" Target="https://www.ncbi.nlm.nih.gov/biosample/SAMEA120815194" TargetMode="External"/><Relationship Id="rId58" Type="http://schemas.openxmlformats.org/officeDocument/2006/relationships/hyperlink" Target="https://www.ncbi.nlm.nih.gov/biosample/SAMN18497788" TargetMode="External"/><Relationship Id="rId66" Type="http://schemas.openxmlformats.org/officeDocument/2006/relationships/hyperlink" Target="https://www.ncbi.nlm.nih.gov/biosample/SAMN25235950" TargetMode="External"/><Relationship Id="rId5" Type="http://schemas.openxmlformats.org/officeDocument/2006/relationships/hyperlink" Target="https://www.ncbi.nlm.nih.gov/bioproject/PRJNA765704" TargetMode="External"/><Relationship Id="rId61" Type="http://schemas.openxmlformats.org/officeDocument/2006/relationships/hyperlink" Target="https://www.ncbi.nlm.nih.gov/biosample/SAMEA110187692" TargetMode="External"/><Relationship Id="rId19" Type="http://schemas.openxmlformats.org/officeDocument/2006/relationships/hyperlink" Target="https://www.ncbi.nlm.nih.gov/bioproject/PRJNA717305" TargetMode="External"/><Relationship Id="rId14" Type="http://schemas.openxmlformats.org/officeDocument/2006/relationships/hyperlink" Target="https://www.ncbi.nlm.nih.gov/nucleotide/CDWWKY010000139.1?report=genbank&amp;log$=nuclalign&amp;blast_rank=1&amp;RID=WZ665MK3014" TargetMode="External"/><Relationship Id="rId22" Type="http://schemas.openxmlformats.org/officeDocument/2006/relationships/hyperlink" Target="https://www.ncbi.nlm.nih.gov/datasets/genome/GCA_013235015.1/" TargetMode="External"/><Relationship Id="rId27" Type="http://schemas.openxmlformats.org/officeDocument/2006/relationships/hyperlink" Target="https://www.ncbi.nlm.nih.gov/datasets/genome/GCA_905250105.1/" TargetMode="External"/><Relationship Id="rId30" Type="http://schemas.openxmlformats.org/officeDocument/2006/relationships/hyperlink" Target="https://www.ncbi.nlm.nih.gov/bioproject/PRJNA846874" TargetMode="External"/><Relationship Id="rId35" Type="http://schemas.openxmlformats.org/officeDocument/2006/relationships/hyperlink" Target="https://www.ncbi.nlm.nih.gov/datasets/genome/GCA_020466635.2/" TargetMode="External"/><Relationship Id="rId43" Type="http://schemas.openxmlformats.org/officeDocument/2006/relationships/hyperlink" Target="https://www.ncbi.nlm.nih.gov/datasets/genome/GCA_022814895.1/" TargetMode="External"/><Relationship Id="rId48" Type="http://schemas.openxmlformats.org/officeDocument/2006/relationships/hyperlink" Target="https://www.ncbi.nlm.nih.gov/biosample/SAMN13901672" TargetMode="External"/><Relationship Id="rId56" Type="http://schemas.openxmlformats.org/officeDocument/2006/relationships/hyperlink" Target="https://www.ncbi.nlm.nih.gov/biosample/SAMN04884744" TargetMode="External"/><Relationship Id="rId64" Type="http://schemas.openxmlformats.org/officeDocument/2006/relationships/hyperlink" Target="https://www.ncbi.nlm.nih.gov/biosample/SAMN29048364" TargetMode="External"/><Relationship Id="rId69" Type="http://schemas.openxmlformats.org/officeDocument/2006/relationships/hyperlink" Target="https://www.ncbi.nlm.nih.gov/biosample/SAMD00231155" TargetMode="External"/><Relationship Id="rId8" Type="http://schemas.openxmlformats.org/officeDocument/2006/relationships/hyperlink" Target="https://www.ncbi.nlm.nih.gov/datasets/genome/GCF_017639315.1/" TargetMode="External"/><Relationship Id="rId51" Type="http://schemas.openxmlformats.org/officeDocument/2006/relationships/hyperlink" Target="https://www.ncbi.nlm.nih.gov/biosample/SAMN12385057" TargetMode="External"/><Relationship Id="rId72" Type="http://schemas.openxmlformats.org/officeDocument/2006/relationships/printerSettings" Target="../printerSettings/printerSettings1.bin"/><Relationship Id="rId3" Type="http://schemas.openxmlformats.org/officeDocument/2006/relationships/hyperlink" Target="https://www.ncbi.nlm.nih.gov/bioproject/PRJNA765704" TargetMode="External"/><Relationship Id="rId12" Type="http://schemas.openxmlformats.org/officeDocument/2006/relationships/hyperlink" Target="https://www.ncbi.nlm.nih.gov/nucleotide/CDWWKY010000139.1?report=genbank&amp;log$=nuclalign&amp;blast_rank=1&amp;RID=WZ33FZ45014" TargetMode="External"/><Relationship Id="rId17" Type="http://schemas.openxmlformats.org/officeDocument/2006/relationships/hyperlink" Target="https://www.ncbi.nlm.nih.gov/bioproject/PRJNA318167" TargetMode="External"/><Relationship Id="rId25" Type="http://schemas.openxmlformats.org/officeDocument/2006/relationships/hyperlink" Target="https://www.ncbi.nlm.nih.gov/datasets/genome/GCF_947086385.1/" TargetMode="External"/><Relationship Id="rId33" Type="http://schemas.openxmlformats.org/officeDocument/2006/relationships/hyperlink" Target="https://www.ncbi.nlm.nih.gov/datasets/genome/GCF_020466585.1/" TargetMode="External"/><Relationship Id="rId38" Type="http://schemas.openxmlformats.org/officeDocument/2006/relationships/hyperlink" Target="https://www.ncbi.nlm.nih.gov/datasets/genome/GCF_024334085.1/" TargetMode="External"/><Relationship Id="rId46" Type="http://schemas.openxmlformats.org/officeDocument/2006/relationships/hyperlink" Target="https://www.ncbi.nlm.nih.gov/biosample/SAMN13901672" TargetMode="External"/><Relationship Id="rId59" Type="http://schemas.openxmlformats.org/officeDocument/2006/relationships/hyperlink" Target="https://www.ncbi.nlm.nih.gov/biosample/SAMD00127334" TargetMode="External"/><Relationship Id="rId67" Type="http://schemas.openxmlformats.org/officeDocument/2006/relationships/hyperlink" Target="https://www.ncbi.nlm.nih.gov/biosample/SAMEA12738679" TargetMode="External"/><Relationship Id="rId20" Type="http://schemas.openxmlformats.org/officeDocument/2006/relationships/hyperlink" Target="https://www.ncbi.nlm.nih.gov/bioproject/PRJNA717305" TargetMode="External"/><Relationship Id="rId41" Type="http://schemas.openxmlformats.org/officeDocument/2006/relationships/hyperlink" Target="https://www.ncbi.nlm.nih.gov/datasets/genome/GCF_024334085.1/" TargetMode="External"/><Relationship Id="rId54" Type="http://schemas.openxmlformats.org/officeDocument/2006/relationships/hyperlink" Target="https://www.ncbi.nlm.nih.gov/biosample/SAMN04884744" TargetMode="External"/><Relationship Id="rId62" Type="http://schemas.openxmlformats.org/officeDocument/2006/relationships/hyperlink" Target="https://www.ncbi.nlm.nih.gov/biosample/SAMN15803692" TargetMode="External"/><Relationship Id="rId70" Type="http://schemas.openxmlformats.org/officeDocument/2006/relationships/hyperlink" Target="https://www.ncbi.nlm.nih.gov/bioproject/PRJDB10007" TargetMode="External"/><Relationship Id="rId1" Type="http://schemas.openxmlformats.org/officeDocument/2006/relationships/hyperlink" Target="https://www.ncbi.nlm.nih.gov/bioproject/PRJNA765704" TargetMode="External"/><Relationship Id="rId6" Type="http://schemas.openxmlformats.org/officeDocument/2006/relationships/hyperlink" Target="https://www.ncbi.nlm.nih.gov/datasets/genome/GCF_017639315.1/" TargetMode="External"/><Relationship Id="rId15" Type="http://schemas.openxmlformats.org/officeDocument/2006/relationships/hyperlink" Target="https://www.ncbi.nlm.nih.gov/bioproject/PRJEB105306" TargetMode="External"/><Relationship Id="rId23" Type="http://schemas.openxmlformats.org/officeDocument/2006/relationships/hyperlink" Target="https://www.ncbi.nlm.nih.gov/bioproject/PRJDB10128" TargetMode="External"/><Relationship Id="rId28" Type="http://schemas.openxmlformats.org/officeDocument/2006/relationships/hyperlink" Target="https://www.ncbi.nlm.nih.gov/bioproject/PRJNA846874" TargetMode="External"/><Relationship Id="rId36" Type="http://schemas.openxmlformats.org/officeDocument/2006/relationships/hyperlink" Target="https://www.ncbi.nlm.nih.gov/bioproject/PRJNA962596" TargetMode="External"/><Relationship Id="rId49" Type="http://schemas.openxmlformats.org/officeDocument/2006/relationships/hyperlink" Target="https://www.ncbi.nlm.nih.gov/biosample/SAMEA117574984" TargetMode="External"/><Relationship Id="rId57" Type="http://schemas.openxmlformats.org/officeDocument/2006/relationships/hyperlink" Target="https://www.ncbi.nlm.nih.gov/biosample/SAMN18497788" TargetMode="External"/><Relationship Id="rId10" Type="http://schemas.openxmlformats.org/officeDocument/2006/relationships/hyperlink" Target="https://www.ncbi.nlm.nih.gov/bioproject/PRJEB31411" TargetMode="External"/><Relationship Id="rId31" Type="http://schemas.openxmlformats.org/officeDocument/2006/relationships/hyperlink" Target="https://www.ncbi.nlm.nih.gov/datasets/genome/GCF_020466585.1/" TargetMode="External"/><Relationship Id="rId44" Type="http://schemas.openxmlformats.org/officeDocument/2006/relationships/hyperlink" Target="https://www.ncbi.nlm.nih.gov/bioproject/PRJEB49416" TargetMode="External"/><Relationship Id="rId52" Type="http://schemas.openxmlformats.org/officeDocument/2006/relationships/hyperlink" Target="https://www.ncbi.nlm.nih.gov/biosample/SAMEA120815194" TargetMode="External"/><Relationship Id="rId60" Type="http://schemas.openxmlformats.org/officeDocument/2006/relationships/hyperlink" Target="https://www.ncbi.nlm.nih.gov/biosample/SAMD00233892" TargetMode="External"/><Relationship Id="rId65" Type="http://schemas.openxmlformats.org/officeDocument/2006/relationships/hyperlink" Target="https://www.ncbi.nlm.nih.gov/biosample/SAMN29048364" TargetMode="External"/><Relationship Id="rId4" Type="http://schemas.openxmlformats.org/officeDocument/2006/relationships/hyperlink" Target="https://www.ncbi.nlm.nih.gov/datasets/genome/GCF_017639315.1/" TargetMode="External"/><Relationship Id="rId9" Type="http://schemas.openxmlformats.org/officeDocument/2006/relationships/hyperlink" Target="https://www.ncbi.nlm.nih.gov/bioproject/PRJEB106167" TargetMode="External"/><Relationship Id="rId13" Type="http://schemas.openxmlformats.org/officeDocument/2006/relationships/hyperlink" Target="https://www.ncbi.nlm.nih.gov/bioproject/PRJEB105306" TargetMode="External"/><Relationship Id="rId18" Type="http://schemas.openxmlformats.org/officeDocument/2006/relationships/hyperlink" Target="https://www.ncbi.nlm.nih.gov/bioproject/PRJNA318167" TargetMode="External"/><Relationship Id="rId39" Type="http://schemas.openxmlformats.org/officeDocument/2006/relationships/hyperlink" Target="https://www.ncbi.nlm.nih.gov/bioproject/PRJNA962596" TargetMode="External"/><Relationship Id="rId34" Type="http://schemas.openxmlformats.org/officeDocument/2006/relationships/hyperlink" Target="https://www.ncbi.nlm.nih.gov/bioproject/PRJNA638274" TargetMode="External"/><Relationship Id="rId50" Type="http://schemas.openxmlformats.org/officeDocument/2006/relationships/hyperlink" Target="https://www.ncbi.nlm.nih.gov/biosample/SAMEA5384776" TargetMode="External"/><Relationship Id="rId55" Type="http://schemas.openxmlformats.org/officeDocument/2006/relationships/hyperlink" Target="https://www.ncbi.nlm.nih.gov/biosample/SAMN0488474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ncbi.nlm.nih.gov/bioproject/PRJNA318167" TargetMode="External"/><Relationship Id="rId21" Type="http://schemas.openxmlformats.org/officeDocument/2006/relationships/hyperlink" Target="https://www.ncbi.nlm.nih.gov/bioproject/PRJEB105306" TargetMode="External"/><Relationship Id="rId42" Type="http://schemas.openxmlformats.org/officeDocument/2006/relationships/hyperlink" Target="https://www.ncbi.nlm.nih.gov/datasets/genome/GCF_947086385.1/" TargetMode="External"/><Relationship Id="rId47" Type="http://schemas.openxmlformats.org/officeDocument/2006/relationships/hyperlink" Target="https://www.ncbi.nlm.nih.gov/datasets/genome/GCF_020466585.1/" TargetMode="External"/><Relationship Id="rId63" Type="http://schemas.openxmlformats.org/officeDocument/2006/relationships/hyperlink" Target="https://www.ncbi.nlm.nih.gov/bioproject/PRJNA800207" TargetMode="External"/><Relationship Id="rId68" Type="http://schemas.openxmlformats.org/officeDocument/2006/relationships/hyperlink" Target="https://www.ncbi.nlm.nih.gov/nucleotide/CDWWKY010000139.1?report=genbank&amp;log$=nuclalign&amp;blast_rank=1&amp;RID=WZ665MK3014" TargetMode="External"/><Relationship Id="rId7" Type="http://schemas.openxmlformats.org/officeDocument/2006/relationships/hyperlink" Target="https://www.ncbi.nlm.nih.gov/biosample/SAMN13901672" TargetMode="External"/><Relationship Id="rId2" Type="http://schemas.openxmlformats.org/officeDocument/2006/relationships/hyperlink" Target="https://www.ncbi.nlm.nih.gov/bioproject/PRJNA765704" TargetMode="External"/><Relationship Id="rId16" Type="http://schemas.openxmlformats.org/officeDocument/2006/relationships/hyperlink" Target="https://www.ncbi.nlm.nih.gov/bioproject/PRJEB31411" TargetMode="External"/><Relationship Id="rId29" Type="http://schemas.openxmlformats.org/officeDocument/2006/relationships/hyperlink" Target="https://www.ncbi.nlm.nih.gov/biosample/SAMN04884744" TargetMode="External"/><Relationship Id="rId11" Type="http://schemas.openxmlformats.org/officeDocument/2006/relationships/hyperlink" Target="https://www.ncbi.nlm.nih.gov/bioproject/PRJNA765704" TargetMode="External"/><Relationship Id="rId24" Type="http://schemas.openxmlformats.org/officeDocument/2006/relationships/hyperlink" Target="https://www.ncbi.nlm.nih.gov/bioproject/PRJEB105306" TargetMode="External"/><Relationship Id="rId32" Type="http://schemas.openxmlformats.org/officeDocument/2006/relationships/hyperlink" Target="https://www.ncbi.nlm.nih.gov/bioproject/PRJNA717305" TargetMode="External"/><Relationship Id="rId37" Type="http://schemas.openxmlformats.org/officeDocument/2006/relationships/hyperlink" Target="https://www.ncbi.nlm.nih.gov/datasets/genome/GCA_013235015.1/" TargetMode="External"/><Relationship Id="rId40" Type="http://schemas.openxmlformats.org/officeDocument/2006/relationships/hyperlink" Target="https://www.ncbi.nlm.nih.gov/biosample/SAMEA110187692" TargetMode="External"/><Relationship Id="rId45" Type="http://schemas.openxmlformats.org/officeDocument/2006/relationships/hyperlink" Target="https://www.ncbi.nlm.nih.gov/datasets/genome/GCA_905250105.1/" TargetMode="External"/><Relationship Id="rId53" Type="http://schemas.openxmlformats.org/officeDocument/2006/relationships/hyperlink" Target="https://www.ncbi.nlm.nih.gov/bioproject/PRJNA638274" TargetMode="External"/><Relationship Id="rId58" Type="http://schemas.openxmlformats.org/officeDocument/2006/relationships/hyperlink" Target="https://www.ncbi.nlm.nih.gov/datasets/genome/GCF_024334085.1/" TargetMode="External"/><Relationship Id="rId66" Type="http://schemas.openxmlformats.org/officeDocument/2006/relationships/hyperlink" Target="https://www.ncbi.nlm.nih.gov/datasets/genome/GCA_022814895.1/" TargetMode="External"/><Relationship Id="rId5" Type="http://schemas.openxmlformats.org/officeDocument/2006/relationships/hyperlink" Target="https://www.ncbi.nlm.nih.gov/bioproject/PRJNA765704" TargetMode="External"/><Relationship Id="rId61" Type="http://schemas.openxmlformats.org/officeDocument/2006/relationships/hyperlink" Target="https://www.ncbi.nlm.nih.gov/datasets/genome/GCF_024334085.1/" TargetMode="External"/><Relationship Id="rId19" Type="http://schemas.openxmlformats.org/officeDocument/2006/relationships/hyperlink" Target="https://www.ncbi.nlm.nih.gov/biosample/SAMEA120815194" TargetMode="External"/><Relationship Id="rId14" Type="http://schemas.openxmlformats.org/officeDocument/2006/relationships/hyperlink" Target="https://www.ncbi.nlm.nih.gov/bioproject/PRJEB106167" TargetMode="External"/><Relationship Id="rId22" Type="http://schemas.openxmlformats.org/officeDocument/2006/relationships/hyperlink" Target="https://www.ncbi.nlm.nih.gov/biosample/SAMEA120815194" TargetMode="External"/><Relationship Id="rId27" Type="http://schemas.openxmlformats.org/officeDocument/2006/relationships/hyperlink" Target="https://www.ncbi.nlm.nih.gov/biosample/SAMN04884744" TargetMode="External"/><Relationship Id="rId30" Type="http://schemas.openxmlformats.org/officeDocument/2006/relationships/hyperlink" Target="https://www.ncbi.nlm.nih.gov/bioproject/PRJNA318167" TargetMode="External"/><Relationship Id="rId35" Type="http://schemas.openxmlformats.org/officeDocument/2006/relationships/hyperlink" Target="https://www.ncbi.nlm.nih.gov/biosample/SAMD00127334" TargetMode="External"/><Relationship Id="rId43" Type="http://schemas.openxmlformats.org/officeDocument/2006/relationships/hyperlink" Target="https://www.ncbi.nlm.nih.gov/biosample/SAMN15803692" TargetMode="External"/><Relationship Id="rId48" Type="http://schemas.openxmlformats.org/officeDocument/2006/relationships/hyperlink" Target="https://www.ncbi.nlm.nih.gov/bioproject/PRJNA846874" TargetMode="External"/><Relationship Id="rId56" Type="http://schemas.openxmlformats.org/officeDocument/2006/relationships/hyperlink" Target="https://www.ncbi.nlm.nih.gov/bioproject/PRJNA962596" TargetMode="External"/><Relationship Id="rId64" Type="http://schemas.openxmlformats.org/officeDocument/2006/relationships/hyperlink" Target="https://www.ncbi.nlm.nih.gov/bioproject/PRJEB49416" TargetMode="External"/><Relationship Id="rId69" Type="http://schemas.openxmlformats.org/officeDocument/2006/relationships/printerSettings" Target="../printerSettings/printerSettings2.bin"/><Relationship Id="rId8" Type="http://schemas.openxmlformats.org/officeDocument/2006/relationships/hyperlink" Target="https://www.ncbi.nlm.nih.gov/bioproject/PRJNA765704" TargetMode="External"/><Relationship Id="rId51" Type="http://schemas.openxmlformats.org/officeDocument/2006/relationships/hyperlink" Target="https://www.ncbi.nlm.nih.gov/datasets/genome/GCF_020466585.1/" TargetMode="External"/><Relationship Id="rId3" Type="http://schemas.openxmlformats.org/officeDocument/2006/relationships/hyperlink" Target="https://www.ncbi.nlm.nih.gov/datasets/genome/GCF_017639315.1/" TargetMode="External"/><Relationship Id="rId12" Type="http://schemas.openxmlformats.org/officeDocument/2006/relationships/hyperlink" Target="https://www.ncbi.nlm.nih.gov/datasets/genome/GCF_017639315.1/" TargetMode="External"/><Relationship Id="rId17" Type="http://schemas.openxmlformats.org/officeDocument/2006/relationships/hyperlink" Target="https://www.ncbi.nlm.nih.gov/biosample/SAMN12385057" TargetMode="External"/><Relationship Id="rId25" Type="http://schemas.openxmlformats.org/officeDocument/2006/relationships/hyperlink" Target="https://www.ncbi.nlm.nih.gov/biosample/SAMN04884744" TargetMode="External"/><Relationship Id="rId33" Type="http://schemas.openxmlformats.org/officeDocument/2006/relationships/hyperlink" Target="https://www.ncbi.nlm.nih.gov/biosample/SAMN18497788" TargetMode="External"/><Relationship Id="rId38" Type="http://schemas.openxmlformats.org/officeDocument/2006/relationships/hyperlink" Target="https://www.ncbi.nlm.nih.gov/biosample/SAMD00233892" TargetMode="External"/><Relationship Id="rId46" Type="http://schemas.openxmlformats.org/officeDocument/2006/relationships/hyperlink" Target="https://www.ncbi.nlm.nih.gov/bioproject/PRJNA846874" TargetMode="External"/><Relationship Id="rId59" Type="http://schemas.openxmlformats.org/officeDocument/2006/relationships/hyperlink" Target="https://www.ncbi.nlm.nih.gov/biosample/SAMN29048364" TargetMode="External"/><Relationship Id="rId67" Type="http://schemas.openxmlformats.org/officeDocument/2006/relationships/hyperlink" Target="https://www.ncbi.nlm.nih.gov/datasets/genome/GCA_934870175.1/" TargetMode="External"/><Relationship Id="rId20" Type="http://schemas.openxmlformats.org/officeDocument/2006/relationships/hyperlink" Target="https://www.ncbi.nlm.nih.gov/nucleotide/CDWWKY010000139.1?report=genbank&amp;log$=nuclalign&amp;blast_rank=1&amp;RID=WZ33FZ45014" TargetMode="External"/><Relationship Id="rId41" Type="http://schemas.openxmlformats.org/officeDocument/2006/relationships/hyperlink" Target="https://www.ncbi.nlm.nih.gov/bioproject/PRJNA1019723" TargetMode="External"/><Relationship Id="rId54" Type="http://schemas.openxmlformats.org/officeDocument/2006/relationships/hyperlink" Target="https://www.ncbi.nlm.nih.gov/datasets/genome/GCA_020466635.2/" TargetMode="External"/><Relationship Id="rId62" Type="http://schemas.openxmlformats.org/officeDocument/2006/relationships/hyperlink" Target="https://www.ncbi.nlm.nih.gov/datasets/genome/GCF_024334085.1/" TargetMode="External"/><Relationship Id="rId1" Type="http://schemas.openxmlformats.org/officeDocument/2006/relationships/hyperlink" Target="https://www.ncbi.nlm.nih.gov/biosample/SAMN13901672" TargetMode="External"/><Relationship Id="rId6" Type="http://schemas.openxmlformats.org/officeDocument/2006/relationships/hyperlink" Target="https://www.ncbi.nlm.nih.gov/datasets/genome/GCF_017639315.1/" TargetMode="External"/><Relationship Id="rId15" Type="http://schemas.openxmlformats.org/officeDocument/2006/relationships/hyperlink" Target="https://www.ncbi.nlm.nih.gov/biosample/SAMEA5384776" TargetMode="External"/><Relationship Id="rId23" Type="http://schemas.openxmlformats.org/officeDocument/2006/relationships/hyperlink" Target="https://www.ncbi.nlm.nih.gov/nucleotide/CDWWKY010000139.1?report=genbank&amp;log$=nuclalign&amp;blast_rank=1&amp;RID=WZ665MK3014" TargetMode="External"/><Relationship Id="rId28" Type="http://schemas.openxmlformats.org/officeDocument/2006/relationships/hyperlink" Target="https://www.ncbi.nlm.nih.gov/bioproject/PRJNA318167" TargetMode="External"/><Relationship Id="rId36" Type="http://schemas.openxmlformats.org/officeDocument/2006/relationships/hyperlink" Target="https://www.ncbi.nlm.nih.gov/bioproject/PRJDB7092" TargetMode="External"/><Relationship Id="rId49" Type="http://schemas.openxmlformats.org/officeDocument/2006/relationships/hyperlink" Target="https://www.ncbi.nlm.nih.gov/datasets/genome/GCF_020466585.1/" TargetMode="External"/><Relationship Id="rId57" Type="http://schemas.openxmlformats.org/officeDocument/2006/relationships/hyperlink" Target="https://www.ncbi.nlm.nih.gov/datasets/genome/GCF_024334085.1/" TargetMode="External"/><Relationship Id="rId10" Type="http://schemas.openxmlformats.org/officeDocument/2006/relationships/hyperlink" Target="https://www.ncbi.nlm.nih.gov/biosample/SAMN13901672" TargetMode="External"/><Relationship Id="rId31" Type="http://schemas.openxmlformats.org/officeDocument/2006/relationships/hyperlink" Target="https://www.ncbi.nlm.nih.gov/biosample/SAMN18497788" TargetMode="External"/><Relationship Id="rId44" Type="http://schemas.openxmlformats.org/officeDocument/2006/relationships/hyperlink" Target="https://www.ncbi.nlm.nih.gov/bioproject/PRJEB43239" TargetMode="External"/><Relationship Id="rId52" Type="http://schemas.openxmlformats.org/officeDocument/2006/relationships/hyperlink" Target="https://www.ncbi.nlm.nih.gov/biosample/SAMN16793775" TargetMode="External"/><Relationship Id="rId60" Type="http://schemas.openxmlformats.org/officeDocument/2006/relationships/hyperlink" Target="https://www.ncbi.nlm.nih.gov/bioproject/PRJNA962596" TargetMode="External"/><Relationship Id="rId65" Type="http://schemas.openxmlformats.org/officeDocument/2006/relationships/hyperlink" Target="https://www.ncbi.nlm.nih.gov/bioproject/PRJDB10007" TargetMode="External"/><Relationship Id="rId4" Type="http://schemas.openxmlformats.org/officeDocument/2006/relationships/hyperlink" Target="https://www.ncbi.nlm.nih.gov/biosample/SAMN13901672" TargetMode="External"/><Relationship Id="rId9" Type="http://schemas.openxmlformats.org/officeDocument/2006/relationships/hyperlink" Target="https://www.ncbi.nlm.nih.gov/datasets/genome/GCF_017639315.1/" TargetMode="External"/><Relationship Id="rId13" Type="http://schemas.openxmlformats.org/officeDocument/2006/relationships/hyperlink" Target="https://www.ncbi.nlm.nih.gov/biosample/SAMEA117574984" TargetMode="External"/><Relationship Id="rId18" Type="http://schemas.openxmlformats.org/officeDocument/2006/relationships/hyperlink" Target="https://www.ncbi.nlm.nih.gov/bioproject/PRJNA556938" TargetMode="External"/><Relationship Id="rId39" Type="http://schemas.openxmlformats.org/officeDocument/2006/relationships/hyperlink" Target="https://www.ncbi.nlm.nih.gov/bioproject/PRJDB10128" TargetMode="External"/><Relationship Id="rId34" Type="http://schemas.openxmlformats.org/officeDocument/2006/relationships/hyperlink" Target="https://www.ncbi.nlm.nih.gov/bioproject/PRJNA717305" TargetMode="External"/><Relationship Id="rId50" Type="http://schemas.openxmlformats.org/officeDocument/2006/relationships/hyperlink" Target="https://www.ncbi.nlm.nih.gov/bioproject/PRJNA846874" TargetMode="External"/><Relationship Id="rId55" Type="http://schemas.openxmlformats.org/officeDocument/2006/relationships/hyperlink" Target="https://www.ncbi.nlm.nih.gov/biosample/SAMN2904836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ncbi.nlm.nih.gov/biosample/SAMD00127334" TargetMode="External"/><Relationship Id="rId13" Type="http://schemas.openxmlformats.org/officeDocument/2006/relationships/hyperlink" Target="https://www.ncbi.nlm.nih.gov/biosample/SAMN29048364" TargetMode="External"/><Relationship Id="rId18" Type="http://schemas.openxmlformats.org/officeDocument/2006/relationships/hyperlink" Target="https://www.ncbi.nlm.nih.gov/datasets/genome/GCA_905250105.1/" TargetMode="External"/><Relationship Id="rId3" Type="http://schemas.openxmlformats.org/officeDocument/2006/relationships/hyperlink" Target="https://www.ncbi.nlm.nih.gov/biosample/SAMEA5384776" TargetMode="External"/><Relationship Id="rId21" Type="http://schemas.openxmlformats.org/officeDocument/2006/relationships/hyperlink" Target="https://www.ncbi.nlm.nih.gov/datasets/genome/GCF_024334085.1/" TargetMode="External"/><Relationship Id="rId7" Type="http://schemas.openxmlformats.org/officeDocument/2006/relationships/hyperlink" Target="https://www.ncbi.nlm.nih.gov/biosample/SAMN18497788" TargetMode="External"/><Relationship Id="rId12" Type="http://schemas.openxmlformats.org/officeDocument/2006/relationships/hyperlink" Target="https://www.ncbi.nlm.nih.gov/biosample/SAMN16793775" TargetMode="External"/><Relationship Id="rId17" Type="http://schemas.openxmlformats.org/officeDocument/2006/relationships/hyperlink" Target="https://www.ncbi.nlm.nih.gov/datasets/genome/GCF_017639315.1/" TargetMode="External"/><Relationship Id="rId25" Type="http://schemas.openxmlformats.org/officeDocument/2006/relationships/printerSettings" Target="../printerSettings/printerSettings4.bin"/><Relationship Id="rId2" Type="http://schemas.openxmlformats.org/officeDocument/2006/relationships/hyperlink" Target="https://www.ncbi.nlm.nih.gov/biosample/SAMEA117574984" TargetMode="External"/><Relationship Id="rId16" Type="http://schemas.openxmlformats.org/officeDocument/2006/relationships/hyperlink" Target="https://www.ncbi.nlm.nih.gov/datasets/genome/GCF_024334085.1/" TargetMode="External"/><Relationship Id="rId20" Type="http://schemas.openxmlformats.org/officeDocument/2006/relationships/hyperlink" Target="https://www.ncbi.nlm.nih.gov/datasets/genome/GCA_020466635.2/" TargetMode="External"/><Relationship Id="rId1" Type="http://schemas.openxmlformats.org/officeDocument/2006/relationships/hyperlink" Target="https://www.ncbi.nlm.nih.gov/biosample/SAMN13901672" TargetMode="External"/><Relationship Id="rId6" Type="http://schemas.openxmlformats.org/officeDocument/2006/relationships/hyperlink" Target="https://www.ncbi.nlm.nih.gov/biosample/SAMN04884744" TargetMode="External"/><Relationship Id="rId11" Type="http://schemas.openxmlformats.org/officeDocument/2006/relationships/hyperlink" Target="https://www.ncbi.nlm.nih.gov/biosample/SAMN15803692" TargetMode="External"/><Relationship Id="rId24" Type="http://schemas.openxmlformats.org/officeDocument/2006/relationships/hyperlink" Target="https://www.ncbi.nlm.nih.gov/biosample/SAMN04884744" TargetMode="External"/><Relationship Id="rId5" Type="http://schemas.openxmlformats.org/officeDocument/2006/relationships/hyperlink" Target="https://www.ncbi.nlm.nih.gov/biosample/SAMEA120815194" TargetMode="External"/><Relationship Id="rId15" Type="http://schemas.openxmlformats.org/officeDocument/2006/relationships/hyperlink" Target="https://www.ncbi.nlm.nih.gov/datasets/genome/GCF_947086385.1/" TargetMode="External"/><Relationship Id="rId23" Type="http://schemas.openxmlformats.org/officeDocument/2006/relationships/hyperlink" Target="https://www.ncbi.nlm.nih.gov/biosample/SAMN04884744" TargetMode="External"/><Relationship Id="rId10" Type="http://schemas.openxmlformats.org/officeDocument/2006/relationships/hyperlink" Target="https://www.ncbi.nlm.nih.gov/biosample/SAMEA110187692" TargetMode="External"/><Relationship Id="rId19" Type="http://schemas.openxmlformats.org/officeDocument/2006/relationships/hyperlink" Target="https://www.ncbi.nlm.nih.gov/datasets/genome/GCF_020466585.1/" TargetMode="External"/><Relationship Id="rId4" Type="http://schemas.openxmlformats.org/officeDocument/2006/relationships/hyperlink" Target="https://www.ncbi.nlm.nih.gov/biosample/SAMN12385057" TargetMode="External"/><Relationship Id="rId9" Type="http://schemas.openxmlformats.org/officeDocument/2006/relationships/hyperlink" Target="https://www.ncbi.nlm.nih.gov/biosample/SAMD00233892" TargetMode="External"/><Relationship Id="rId14" Type="http://schemas.openxmlformats.org/officeDocument/2006/relationships/hyperlink" Target="https://www.ncbi.nlm.nih.gov/datasets/genome/GCA_013235015.1/" TargetMode="External"/><Relationship Id="rId22" Type="http://schemas.openxmlformats.org/officeDocument/2006/relationships/hyperlink" Target="https://www.ncbi.nlm.nih.gov/biosample/SAMN1238505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ncbi.nlm.nih.gov/biosample/SAMEA110187692" TargetMode="External"/><Relationship Id="rId13" Type="http://schemas.openxmlformats.org/officeDocument/2006/relationships/hyperlink" Target="https://www.ncbi.nlm.nih.gov/biosample/SAMN29048364" TargetMode="External"/><Relationship Id="rId18" Type="http://schemas.openxmlformats.org/officeDocument/2006/relationships/hyperlink" Target="https://www.ncbi.nlm.nih.gov/biosample/SAMN04884744" TargetMode="External"/><Relationship Id="rId3" Type="http://schemas.openxmlformats.org/officeDocument/2006/relationships/hyperlink" Target="https://www.ncbi.nlm.nih.gov/biosample/SAMEA5384776" TargetMode="External"/><Relationship Id="rId21" Type="http://schemas.openxmlformats.org/officeDocument/2006/relationships/hyperlink" Target="https://www.ncbi.nlm.nih.gov/biosample/SAMN18497788" TargetMode="External"/><Relationship Id="rId7" Type="http://schemas.openxmlformats.org/officeDocument/2006/relationships/hyperlink" Target="https://www.ncbi.nlm.nih.gov/datasets/genome/GCF_947086385.1/" TargetMode="External"/><Relationship Id="rId12" Type="http://schemas.openxmlformats.org/officeDocument/2006/relationships/hyperlink" Target="https://www.ncbi.nlm.nih.gov/datasets/genome/GCF_024334085.1/" TargetMode="External"/><Relationship Id="rId17" Type="http://schemas.openxmlformats.org/officeDocument/2006/relationships/hyperlink" Target="https://www.ncbi.nlm.nih.gov/biosample/SAMEA120815194" TargetMode="External"/><Relationship Id="rId2" Type="http://schemas.openxmlformats.org/officeDocument/2006/relationships/hyperlink" Target="https://www.ncbi.nlm.nih.gov/biosample/SAMEA117574984" TargetMode="External"/><Relationship Id="rId16" Type="http://schemas.openxmlformats.org/officeDocument/2006/relationships/hyperlink" Target="https://www.ncbi.nlm.nih.gov/biosample/SAMN12385057" TargetMode="External"/><Relationship Id="rId20" Type="http://schemas.openxmlformats.org/officeDocument/2006/relationships/hyperlink" Target="https://www.ncbi.nlm.nih.gov/biosample/SAMN04884744" TargetMode="External"/><Relationship Id="rId1" Type="http://schemas.openxmlformats.org/officeDocument/2006/relationships/hyperlink" Target="https://www.ncbi.nlm.nih.gov/biosample/SAMN13901672" TargetMode="External"/><Relationship Id="rId6" Type="http://schemas.openxmlformats.org/officeDocument/2006/relationships/hyperlink" Target="https://www.ncbi.nlm.nih.gov/biosample/SAMD00233892" TargetMode="External"/><Relationship Id="rId11" Type="http://schemas.openxmlformats.org/officeDocument/2006/relationships/hyperlink" Target="https://www.ncbi.nlm.nih.gov/biosample/SAMN16793775" TargetMode="External"/><Relationship Id="rId5" Type="http://schemas.openxmlformats.org/officeDocument/2006/relationships/hyperlink" Target="https://www.ncbi.nlm.nih.gov/biosample/SAMD00127334" TargetMode="External"/><Relationship Id="rId15" Type="http://schemas.openxmlformats.org/officeDocument/2006/relationships/hyperlink" Target="https://www.ncbi.nlm.nih.gov/biosample/SAMN12385057" TargetMode="External"/><Relationship Id="rId10" Type="http://schemas.openxmlformats.org/officeDocument/2006/relationships/hyperlink" Target="https://www.ncbi.nlm.nih.gov/biosample/SAMN15803692" TargetMode="External"/><Relationship Id="rId19" Type="http://schemas.openxmlformats.org/officeDocument/2006/relationships/hyperlink" Target="https://www.ncbi.nlm.nih.gov/biosample/SAMN04884744" TargetMode="External"/><Relationship Id="rId4" Type="http://schemas.openxmlformats.org/officeDocument/2006/relationships/hyperlink" Target="https://www.ncbi.nlm.nih.gov/datasets/genome/GCA_013235015.1/" TargetMode="External"/><Relationship Id="rId9" Type="http://schemas.openxmlformats.org/officeDocument/2006/relationships/hyperlink" Target="https://www.ncbi.nlm.nih.gov/datasets/genome/GCF_947086385.1/" TargetMode="External"/><Relationship Id="rId14" Type="http://schemas.openxmlformats.org/officeDocument/2006/relationships/hyperlink" Target="https://www.ncbi.nlm.nih.gov/datasets/genome/GCF_024334085.1/" TargetMode="External"/><Relationship Id="rId22"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95"/>
  <sheetViews>
    <sheetView tabSelected="1" zoomScale="85" zoomScaleNormal="85" workbookViewId="0">
      <selection activeCell="C108" sqref="C108"/>
    </sheetView>
  </sheetViews>
  <sheetFormatPr baseColWidth="10" defaultColWidth="9.140625" defaultRowHeight="15" x14ac:dyDescent="0.25"/>
  <cols>
    <col min="1" max="1" width="6" style="1" customWidth="1"/>
    <col min="2" max="2" width="43.7109375" customWidth="1"/>
    <col min="3" max="3" width="30.85546875" style="2" customWidth="1"/>
    <col min="4" max="4" width="16" style="1" customWidth="1"/>
    <col min="5" max="5" width="14" style="1" customWidth="1"/>
    <col min="6" max="6" width="18.140625" style="1" customWidth="1"/>
    <col min="7" max="7" width="21.42578125" style="133" customWidth="1"/>
    <col min="8" max="8" width="5.85546875" style="3" customWidth="1"/>
    <col min="9" max="9" width="11.5703125" style="1" customWidth="1"/>
    <col min="10" max="10" width="13.7109375" style="1" customWidth="1"/>
    <col min="11" max="11" width="15.42578125" style="1" customWidth="1"/>
    <col min="12" max="12" width="8.140625" style="1" customWidth="1"/>
    <col min="13" max="13" width="12" style="1" customWidth="1"/>
    <col min="14" max="14" width="17.42578125" style="1" customWidth="1"/>
    <col min="15" max="15" width="14.42578125" customWidth="1"/>
    <col min="16" max="16" width="12.28515625" customWidth="1"/>
  </cols>
  <sheetData>
    <row r="1" spans="1:38" x14ac:dyDescent="0.25">
      <c r="A1" s="4" t="s">
        <v>0</v>
      </c>
      <c r="B1" s="4" t="s">
        <v>1</v>
      </c>
      <c r="C1" s="5" t="s">
        <v>2</v>
      </c>
      <c r="D1" s="4" t="s">
        <v>3</v>
      </c>
      <c r="E1" s="4" t="s">
        <v>4</v>
      </c>
      <c r="F1" s="5" t="s">
        <v>5</v>
      </c>
      <c r="G1" s="5" t="s">
        <v>6</v>
      </c>
      <c r="H1" s="4" t="s">
        <v>7</v>
      </c>
      <c r="I1" s="4" t="s">
        <v>8</v>
      </c>
      <c r="J1" s="4" t="s">
        <v>9</v>
      </c>
      <c r="K1" s="4" t="s">
        <v>10</v>
      </c>
      <c r="L1" s="4" t="s">
        <v>11</v>
      </c>
      <c r="M1" s="4" t="s">
        <v>12</v>
      </c>
      <c r="N1" s="6"/>
      <c r="O1" s="6"/>
      <c r="P1" s="6"/>
      <c r="Q1" s="6"/>
      <c r="R1" s="6"/>
      <c r="S1" s="6"/>
      <c r="T1" s="6"/>
      <c r="U1" s="6"/>
      <c r="V1" s="6"/>
      <c r="W1" s="6"/>
      <c r="X1" s="6"/>
      <c r="Y1" s="6"/>
      <c r="Z1" s="6"/>
      <c r="AA1" s="6"/>
      <c r="AB1" s="6"/>
      <c r="AC1" s="6"/>
      <c r="AD1" s="6"/>
      <c r="AE1" s="6"/>
      <c r="AF1" s="6"/>
    </row>
    <row r="2" spans="1:38" x14ac:dyDescent="0.25">
      <c r="A2" s="3" t="s">
        <v>13</v>
      </c>
      <c r="B2" s="7" t="str">
        <f t="shared" ref="B2:C33" si="0">_xlfn.CONCAT(C2,"_",G2)</f>
        <v>Abscondita_terminalis_KAF5269421.1</v>
      </c>
      <c r="C2" s="8" t="s">
        <v>14</v>
      </c>
      <c r="D2" s="3" t="s">
        <v>15</v>
      </c>
      <c r="E2" s="3" t="s">
        <v>16</v>
      </c>
      <c r="F2" s="9" t="s">
        <v>17</v>
      </c>
      <c r="G2" s="128" t="s">
        <v>17</v>
      </c>
      <c r="H2" s="3">
        <v>4621</v>
      </c>
      <c r="I2" s="3" t="s">
        <v>18</v>
      </c>
      <c r="J2" s="3" t="s">
        <v>18</v>
      </c>
      <c r="K2" s="3" t="s">
        <v>29</v>
      </c>
      <c r="L2" s="3">
        <v>1</v>
      </c>
      <c r="M2" s="3">
        <v>1</v>
      </c>
      <c r="N2" s="6"/>
      <c r="O2" s="10"/>
      <c r="P2" s="10"/>
    </row>
    <row r="3" spans="1:38" x14ac:dyDescent="0.25">
      <c r="A3" s="3" t="s">
        <v>13</v>
      </c>
      <c r="B3" s="7" t="str">
        <f t="shared" si="0"/>
        <v>Abscondita_terminalis_KAF5271477.1</v>
      </c>
      <c r="C3" s="8" t="s">
        <v>14</v>
      </c>
      <c r="D3" s="3" t="s">
        <v>15</v>
      </c>
      <c r="E3" s="3" t="s">
        <v>16</v>
      </c>
      <c r="F3" s="11" t="s">
        <v>20</v>
      </c>
      <c r="G3" s="129" t="s">
        <v>20</v>
      </c>
      <c r="H3" s="12">
        <v>2798</v>
      </c>
      <c r="I3" s="3" t="s">
        <v>18</v>
      </c>
      <c r="J3" s="3" t="s">
        <v>18</v>
      </c>
      <c r="K3" s="3" t="s">
        <v>19</v>
      </c>
      <c r="L3" s="3">
        <v>0</v>
      </c>
      <c r="M3" s="3">
        <v>0</v>
      </c>
      <c r="N3" s="6"/>
      <c r="O3" s="10"/>
      <c r="P3" s="10"/>
    </row>
    <row r="4" spans="1:38" x14ac:dyDescent="0.25">
      <c r="A4" s="3" t="s">
        <v>13</v>
      </c>
      <c r="B4" s="7" t="str">
        <f t="shared" si="0"/>
        <v>Abscondita_terminalis_KAF5271551.1</v>
      </c>
      <c r="C4" s="8" t="s">
        <v>14</v>
      </c>
      <c r="D4" s="3" t="s">
        <v>15</v>
      </c>
      <c r="E4" s="3" t="s">
        <v>16</v>
      </c>
      <c r="F4" s="11" t="s">
        <v>21</v>
      </c>
      <c r="G4" s="129" t="s">
        <v>21</v>
      </c>
      <c r="H4" s="3">
        <v>2771</v>
      </c>
      <c r="I4" s="3" t="s">
        <v>18</v>
      </c>
      <c r="J4" s="3" t="s">
        <v>18</v>
      </c>
      <c r="K4" s="3" t="s">
        <v>19</v>
      </c>
      <c r="L4" s="3">
        <v>0</v>
      </c>
      <c r="M4" s="3">
        <v>0</v>
      </c>
      <c r="N4" s="6"/>
      <c r="O4" s="10"/>
      <c r="P4" s="10"/>
    </row>
    <row r="5" spans="1:38" x14ac:dyDescent="0.25">
      <c r="A5" s="3" t="s">
        <v>13</v>
      </c>
      <c r="B5" s="7" t="str">
        <f t="shared" si="0"/>
        <v>Abscondita_terminalis_KAF5279910.1</v>
      </c>
      <c r="C5" s="8" t="s">
        <v>14</v>
      </c>
      <c r="D5" s="3" t="s">
        <v>15</v>
      </c>
      <c r="E5" s="3" t="s">
        <v>16</v>
      </c>
      <c r="F5" s="11" t="s">
        <v>22</v>
      </c>
      <c r="G5" s="129" t="s">
        <v>22</v>
      </c>
      <c r="H5" s="3">
        <v>2781</v>
      </c>
      <c r="I5" s="3" t="s">
        <v>18</v>
      </c>
      <c r="J5" s="3" t="s">
        <v>18</v>
      </c>
      <c r="K5" s="3" t="s">
        <v>19</v>
      </c>
      <c r="L5" s="3">
        <v>0</v>
      </c>
      <c r="M5" s="3">
        <v>0</v>
      </c>
      <c r="N5" s="6"/>
      <c r="O5" s="10"/>
      <c r="P5" s="10"/>
    </row>
    <row r="6" spans="1:38" x14ac:dyDescent="0.25">
      <c r="A6" s="3" t="s">
        <v>13</v>
      </c>
      <c r="B6" s="7" t="s">
        <v>454</v>
      </c>
      <c r="C6" s="7" t="str">
        <f t="shared" si="0"/>
        <v>Arthropoda_2418</v>
      </c>
      <c r="D6" s="3" t="s">
        <v>15</v>
      </c>
      <c r="E6" s="3" t="s">
        <v>16</v>
      </c>
      <c r="F6" s="11" t="s">
        <v>23</v>
      </c>
      <c r="G6" s="129" t="s">
        <v>23</v>
      </c>
      <c r="H6" s="3">
        <v>2418</v>
      </c>
      <c r="I6" s="3" t="s">
        <v>18</v>
      </c>
      <c r="J6" s="3" t="s">
        <v>18</v>
      </c>
      <c r="K6" s="3" t="s">
        <v>19</v>
      </c>
      <c r="L6" s="3">
        <v>0</v>
      </c>
      <c r="M6" s="3">
        <v>0</v>
      </c>
      <c r="N6" s="6"/>
      <c r="O6" s="10"/>
      <c r="P6" s="10"/>
    </row>
    <row r="7" spans="1:38" x14ac:dyDescent="0.25">
      <c r="A7" s="3" t="s">
        <v>13</v>
      </c>
      <c r="B7" s="7" t="str">
        <f t="shared" si="0"/>
        <v>Amblyptilia_punctidactyla_OZ389411.1</v>
      </c>
      <c r="C7" s="8" t="s">
        <v>24</v>
      </c>
      <c r="D7" s="3" t="s">
        <v>15</v>
      </c>
      <c r="E7" s="3" t="s">
        <v>25</v>
      </c>
      <c r="F7" s="9" t="s">
        <v>26</v>
      </c>
      <c r="G7" s="128" t="s">
        <v>26</v>
      </c>
      <c r="H7" s="3">
        <v>733</v>
      </c>
      <c r="I7" s="3" t="s">
        <v>27</v>
      </c>
      <c r="J7" s="3" t="s">
        <v>28</v>
      </c>
      <c r="K7" s="3" t="s">
        <v>29</v>
      </c>
      <c r="L7" s="3">
        <v>1</v>
      </c>
      <c r="M7" s="3">
        <v>1</v>
      </c>
      <c r="N7" s="6"/>
      <c r="O7" s="10"/>
      <c r="P7" s="10"/>
    </row>
    <row r="8" spans="1:38" x14ac:dyDescent="0.25">
      <c r="A8" s="3" t="s">
        <v>13</v>
      </c>
      <c r="B8" s="7" t="str">
        <f t="shared" si="0"/>
        <v>Anaeromyces_robustus_ORX65545.1</v>
      </c>
      <c r="C8" s="8" t="s">
        <v>30</v>
      </c>
      <c r="D8" s="3" t="s">
        <v>31</v>
      </c>
      <c r="E8" s="3"/>
      <c r="F8" s="7" t="s">
        <v>32</v>
      </c>
      <c r="G8" s="130" t="s">
        <v>32</v>
      </c>
      <c r="H8" s="3">
        <v>178</v>
      </c>
      <c r="I8" s="3" t="s">
        <v>27</v>
      </c>
      <c r="J8" s="3" t="s">
        <v>33</v>
      </c>
      <c r="K8" s="3" t="s">
        <v>19</v>
      </c>
      <c r="L8" s="3">
        <v>0</v>
      </c>
      <c r="M8" s="3">
        <v>0</v>
      </c>
      <c r="N8" s="6"/>
      <c r="O8" s="10"/>
      <c r="P8" s="10"/>
      <c r="Q8" s="13"/>
      <c r="R8" s="13"/>
      <c r="S8" s="13"/>
      <c r="T8" s="13"/>
      <c r="U8" s="13"/>
      <c r="V8" s="13"/>
      <c r="W8" s="13"/>
      <c r="X8" s="13"/>
      <c r="Y8" s="13"/>
      <c r="Z8" s="13"/>
      <c r="AA8" s="13"/>
      <c r="AB8" s="13"/>
      <c r="AC8" s="13"/>
      <c r="AD8" s="13"/>
      <c r="AE8" s="13"/>
      <c r="AF8" s="13"/>
      <c r="AG8" s="13"/>
      <c r="AH8" s="13"/>
      <c r="AI8" s="13"/>
      <c r="AJ8" s="13"/>
      <c r="AK8" s="13"/>
      <c r="AL8" s="13"/>
    </row>
    <row r="9" spans="1:38" x14ac:dyDescent="0.25">
      <c r="A9" s="3" t="s">
        <v>13</v>
      </c>
      <c r="B9" s="7" t="str">
        <f t="shared" si="0"/>
        <v>Anaeromyces_robustus_ORX75427.1</v>
      </c>
      <c r="C9" s="8" t="s">
        <v>30</v>
      </c>
      <c r="D9" s="3" t="s">
        <v>31</v>
      </c>
      <c r="E9" s="3"/>
      <c r="F9" s="7" t="s">
        <v>34</v>
      </c>
      <c r="G9" s="130" t="s">
        <v>34</v>
      </c>
      <c r="H9" s="3">
        <v>607</v>
      </c>
      <c r="I9" s="3" t="s">
        <v>27</v>
      </c>
      <c r="J9" s="3" t="s">
        <v>33</v>
      </c>
      <c r="K9" s="3" t="s">
        <v>19</v>
      </c>
      <c r="L9" s="3">
        <v>0</v>
      </c>
      <c r="M9" s="3">
        <v>0</v>
      </c>
      <c r="N9" s="6"/>
      <c r="O9" s="10"/>
      <c r="P9" s="10"/>
      <c r="Q9" s="13"/>
      <c r="R9" s="13"/>
      <c r="S9" s="13"/>
      <c r="T9" s="13"/>
      <c r="U9" s="13"/>
      <c r="V9" s="13"/>
      <c r="W9" s="13"/>
      <c r="X9" s="13"/>
      <c r="Y9" s="13"/>
      <c r="Z9" s="13"/>
      <c r="AA9" s="13"/>
      <c r="AB9" s="13"/>
      <c r="AC9" s="13"/>
      <c r="AD9" s="13"/>
      <c r="AE9" s="13"/>
      <c r="AF9" s="13"/>
      <c r="AG9" s="13"/>
      <c r="AH9" s="13"/>
      <c r="AI9" s="13"/>
      <c r="AJ9" s="13"/>
      <c r="AK9" s="13"/>
      <c r="AL9" s="13"/>
    </row>
    <row r="10" spans="1:38" x14ac:dyDescent="0.25">
      <c r="A10" s="3" t="s">
        <v>13</v>
      </c>
      <c r="B10" s="7" t="str">
        <f t="shared" si="0"/>
        <v>Araneus_ventricosus_GBL98430.1</v>
      </c>
      <c r="C10" s="8" t="s">
        <v>35</v>
      </c>
      <c r="D10" s="3" t="s">
        <v>15</v>
      </c>
      <c r="E10" s="3" t="s">
        <v>36</v>
      </c>
      <c r="F10" s="14" t="s">
        <v>37</v>
      </c>
      <c r="G10" s="131" t="s">
        <v>37</v>
      </c>
      <c r="H10" s="3">
        <v>462</v>
      </c>
      <c r="I10" s="3" t="s">
        <v>18</v>
      </c>
      <c r="J10" s="3" t="s">
        <v>18</v>
      </c>
      <c r="K10" s="3" t="s">
        <v>19</v>
      </c>
      <c r="L10" s="3">
        <v>0</v>
      </c>
      <c r="M10" s="3">
        <v>0</v>
      </c>
      <c r="N10" s="6"/>
      <c r="O10" s="10"/>
      <c r="P10" s="10"/>
      <c r="Q10" s="13"/>
      <c r="R10" s="13"/>
      <c r="S10" s="13"/>
      <c r="T10" s="13"/>
      <c r="U10" s="13"/>
      <c r="V10" s="13"/>
      <c r="W10" s="13"/>
      <c r="X10" s="13"/>
      <c r="Y10" s="13"/>
      <c r="Z10" s="13"/>
      <c r="AA10" s="13"/>
      <c r="AB10" s="13"/>
      <c r="AC10" s="13"/>
      <c r="AD10" s="13"/>
      <c r="AE10" s="13"/>
      <c r="AF10" s="13"/>
      <c r="AG10" s="13"/>
      <c r="AH10" s="13"/>
      <c r="AI10" s="13"/>
      <c r="AJ10" s="13"/>
      <c r="AK10" s="13"/>
      <c r="AL10" s="13"/>
    </row>
    <row r="11" spans="1:38" x14ac:dyDescent="0.25">
      <c r="A11" s="3" t="s">
        <v>13</v>
      </c>
      <c r="B11" s="7" t="str">
        <f t="shared" si="0"/>
        <v>Araneus_ventricosus_GBM63681.1</v>
      </c>
      <c r="C11" s="8" t="s">
        <v>35</v>
      </c>
      <c r="D11" s="3" t="s">
        <v>15</v>
      </c>
      <c r="E11" s="3" t="s">
        <v>36</v>
      </c>
      <c r="F11" s="14" t="s">
        <v>38</v>
      </c>
      <c r="G11" s="131" t="s">
        <v>38</v>
      </c>
      <c r="H11" s="3">
        <v>916</v>
      </c>
      <c r="I11" s="3" t="s">
        <v>18</v>
      </c>
      <c r="J11" s="3" t="s">
        <v>18</v>
      </c>
      <c r="K11" s="3" t="s">
        <v>19</v>
      </c>
      <c r="L11" s="3">
        <v>0</v>
      </c>
      <c r="M11" s="3">
        <v>0</v>
      </c>
      <c r="N11" s="6"/>
      <c r="O11" s="10"/>
      <c r="P11" s="10"/>
      <c r="Q11" s="13"/>
      <c r="R11" s="13"/>
      <c r="S11" s="13"/>
      <c r="T11" s="13"/>
      <c r="U11" s="13"/>
      <c r="V11" s="13"/>
      <c r="W11" s="13"/>
      <c r="X11" s="13"/>
      <c r="Y11" s="13"/>
      <c r="Z11" s="13"/>
      <c r="AA11" s="13"/>
      <c r="AB11" s="13"/>
      <c r="AC11" s="13"/>
      <c r="AD11" s="13"/>
      <c r="AE11" s="13"/>
      <c r="AF11" s="13"/>
      <c r="AG11" s="13"/>
      <c r="AH11" s="13"/>
      <c r="AI11" s="13"/>
      <c r="AJ11" s="13"/>
      <c r="AK11" s="13"/>
      <c r="AL11" s="13"/>
    </row>
    <row r="12" spans="1:38" x14ac:dyDescent="0.25">
      <c r="A12" s="3" t="s">
        <v>13</v>
      </c>
      <c r="B12" s="7" t="str">
        <f t="shared" si="0"/>
        <v>Araneus_ventricosus_GBM90577.1</v>
      </c>
      <c r="C12" s="8" t="s">
        <v>35</v>
      </c>
      <c r="D12" s="3" t="s">
        <v>15</v>
      </c>
      <c r="E12" s="3" t="s">
        <v>36</v>
      </c>
      <c r="F12" s="14" t="s">
        <v>39</v>
      </c>
      <c r="G12" s="131" t="s">
        <v>39</v>
      </c>
      <c r="H12" s="3">
        <v>1369</v>
      </c>
      <c r="I12" s="3" t="s">
        <v>18</v>
      </c>
      <c r="J12" s="3" t="s">
        <v>18</v>
      </c>
      <c r="K12" s="3" t="s">
        <v>19</v>
      </c>
      <c r="L12" s="3">
        <v>0</v>
      </c>
      <c r="M12" s="3">
        <v>0</v>
      </c>
      <c r="N12" s="6"/>
      <c r="O12" s="10"/>
      <c r="P12" s="10"/>
      <c r="Q12" s="15"/>
      <c r="R12" s="15"/>
      <c r="S12" s="15"/>
      <c r="T12" s="15"/>
      <c r="U12" s="15"/>
      <c r="V12" s="15"/>
      <c r="W12" s="15"/>
      <c r="X12" s="15"/>
      <c r="Y12" s="15"/>
      <c r="Z12" s="15"/>
      <c r="AA12" s="15"/>
      <c r="AB12" s="15"/>
      <c r="AC12" s="15"/>
      <c r="AD12" s="15"/>
      <c r="AE12" s="15"/>
      <c r="AF12" s="15"/>
      <c r="AG12" s="15"/>
      <c r="AH12" s="13"/>
      <c r="AI12" s="13"/>
      <c r="AJ12" s="13"/>
      <c r="AK12" s="13"/>
      <c r="AL12" s="13"/>
    </row>
    <row r="13" spans="1:38" x14ac:dyDescent="0.25">
      <c r="A13" s="3" t="s">
        <v>13</v>
      </c>
      <c r="B13" s="7" t="str">
        <f t="shared" si="0"/>
        <v>Araneus_ventricosus_GBO46134.1</v>
      </c>
      <c r="C13" s="8" t="s">
        <v>35</v>
      </c>
      <c r="D13" s="3" t="s">
        <v>15</v>
      </c>
      <c r="E13" s="3" t="s">
        <v>36</v>
      </c>
      <c r="F13" s="14" t="s">
        <v>40</v>
      </c>
      <c r="G13" s="131" t="s">
        <v>40</v>
      </c>
      <c r="H13" s="3">
        <v>270</v>
      </c>
      <c r="I13" s="3" t="s">
        <v>18</v>
      </c>
      <c r="J13" s="3" t="s">
        <v>18</v>
      </c>
      <c r="K13" s="3" t="s">
        <v>19</v>
      </c>
      <c r="L13" s="3">
        <v>0</v>
      </c>
      <c r="M13" s="3">
        <v>0</v>
      </c>
      <c r="N13" s="6"/>
      <c r="O13" s="10"/>
      <c r="P13" s="10"/>
      <c r="Q13" s="13"/>
      <c r="R13" s="13"/>
      <c r="S13" s="13"/>
      <c r="T13" s="13"/>
      <c r="U13" s="13"/>
      <c r="V13" s="13"/>
      <c r="W13" s="13"/>
      <c r="X13" s="13"/>
      <c r="Y13" s="13"/>
      <c r="Z13" s="13"/>
      <c r="AA13" s="13"/>
      <c r="AB13" s="13"/>
      <c r="AC13" s="13"/>
      <c r="AD13" s="13"/>
      <c r="AE13" s="13"/>
      <c r="AF13" s="13"/>
      <c r="AG13" s="13"/>
      <c r="AH13" s="13"/>
      <c r="AI13" s="13"/>
      <c r="AJ13" s="13"/>
      <c r="AK13" s="13"/>
      <c r="AL13" s="13"/>
    </row>
    <row r="14" spans="1:38" x14ac:dyDescent="0.25">
      <c r="A14" s="3" t="s">
        <v>13</v>
      </c>
      <c r="B14" s="7" t="str">
        <f t="shared" si="0"/>
        <v>Araneus_ventricosus_GBL78539.1</v>
      </c>
      <c r="C14" s="8" t="s">
        <v>35</v>
      </c>
      <c r="D14" s="3" t="s">
        <v>15</v>
      </c>
      <c r="E14" s="3" t="s">
        <v>36</v>
      </c>
      <c r="F14" s="9" t="s">
        <v>41</v>
      </c>
      <c r="G14" s="128" t="s">
        <v>41</v>
      </c>
      <c r="H14" s="3">
        <v>1820</v>
      </c>
      <c r="I14" s="3" t="s">
        <v>27</v>
      </c>
      <c r="J14" s="3" t="s">
        <v>33</v>
      </c>
      <c r="K14" s="3" t="s">
        <v>29</v>
      </c>
      <c r="L14" s="3">
        <v>1</v>
      </c>
      <c r="M14" s="3">
        <v>1</v>
      </c>
      <c r="N14" s="6"/>
      <c r="O14" s="10"/>
      <c r="P14" s="10"/>
      <c r="Q14" s="13"/>
      <c r="R14" s="13"/>
      <c r="S14" s="13"/>
      <c r="T14" s="13"/>
      <c r="U14" s="13"/>
      <c r="V14" s="13"/>
      <c r="W14" s="13"/>
      <c r="X14" s="13"/>
      <c r="Y14" s="13"/>
      <c r="Z14" s="13"/>
      <c r="AA14" s="13"/>
      <c r="AB14" s="13"/>
      <c r="AC14" s="13"/>
      <c r="AD14" s="13"/>
      <c r="AE14" s="13"/>
      <c r="AF14" s="13"/>
      <c r="AG14" s="13"/>
      <c r="AH14" s="13"/>
      <c r="AI14" s="13"/>
      <c r="AJ14" s="13"/>
      <c r="AK14" s="13"/>
      <c r="AL14" s="13"/>
    </row>
    <row r="15" spans="1:38" x14ac:dyDescent="0.25">
      <c r="A15" s="3" t="s">
        <v>13</v>
      </c>
      <c r="B15" s="7" t="str">
        <f t="shared" si="0"/>
        <v>Argiope_bruennichi_KAF8789045.1</v>
      </c>
      <c r="C15" s="8" t="s">
        <v>42</v>
      </c>
      <c r="D15" s="3" t="s">
        <v>15</v>
      </c>
      <c r="E15" s="3" t="s">
        <v>36</v>
      </c>
      <c r="F15" s="9" t="s">
        <v>43</v>
      </c>
      <c r="G15" s="128" t="s">
        <v>43</v>
      </c>
      <c r="H15" s="3">
        <v>503</v>
      </c>
      <c r="I15" s="3" t="s">
        <v>18</v>
      </c>
      <c r="J15" s="3" t="s">
        <v>18</v>
      </c>
      <c r="K15" s="3" t="s">
        <v>19</v>
      </c>
      <c r="L15" s="3">
        <v>0</v>
      </c>
      <c r="M15" s="3">
        <v>0</v>
      </c>
      <c r="N15" s="6"/>
      <c r="O15" s="10"/>
      <c r="P15" s="10"/>
      <c r="Q15" s="13"/>
      <c r="R15" s="13"/>
      <c r="S15" s="13"/>
      <c r="T15" s="13"/>
      <c r="U15" s="13"/>
      <c r="V15" s="13"/>
      <c r="W15" s="13"/>
      <c r="X15" s="13"/>
      <c r="Y15" s="13"/>
      <c r="Z15" s="13"/>
      <c r="AA15" s="13"/>
      <c r="AB15" s="13"/>
      <c r="AC15" s="13"/>
      <c r="AD15" s="13"/>
      <c r="AE15" s="13"/>
      <c r="AF15" s="13"/>
      <c r="AG15" s="13"/>
      <c r="AH15" s="13"/>
      <c r="AI15" s="13"/>
      <c r="AJ15" s="13"/>
      <c r="AK15" s="13"/>
      <c r="AL15" s="13"/>
    </row>
    <row r="16" spans="1:38" x14ac:dyDescent="0.25">
      <c r="A16" s="3" t="s">
        <v>13</v>
      </c>
      <c r="B16" s="7" t="str">
        <f t="shared" si="0"/>
        <v>Aricia_agestis_XP_041974316.1</v>
      </c>
      <c r="C16" s="8" t="s">
        <v>44</v>
      </c>
      <c r="D16" s="3" t="s">
        <v>15</v>
      </c>
      <c r="E16" s="3" t="s">
        <v>25</v>
      </c>
      <c r="F16" s="9" t="s">
        <v>45</v>
      </c>
      <c r="G16" s="128" t="s">
        <v>45</v>
      </c>
      <c r="H16" s="3">
        <v>1357</v>
      </c>
      <c r="I16" s="3" t="s">
        <v>18</v>
      </c>
      <c r="J16" s="3" t="s">
        <v>18</v>
      </c>
      <c r="K16" s="3" t="s">
        <v>19</v>
      </c>
      <c r="L16" s="3">
        <v>0</v>
      </c>
      <c r="M16" s="16">
        <v>0</v>
      </c>
      <c r="N16" s="6"/>
      <c r="O16" s="10"/>
      <c r="P16" s="10"/>
      <c r="Q16" s="13"/>
      <c r="R16" s="13"/>
      <c r="S16" s="13"/>
      <c r="T16" s="13"/>
      <c r="U16" s="13"/>
      <c r="V16" s="13"/>
      <c r="W16" s="13"/>
      <c r="X16" s="13"/>
      <c r="Y16" s="13"/>
      <c r="Z16" s="13"/>
      <c r="AA16" s="13"/>
      <c r="AB16" s="13"/>
      <c r="AC16" s="13"/>
      <c r="AD16" s="13"/>
      <c r="AE16" s="13"/>
      <c r="AF16" s="13"/>
      <c r="AG16" s="13"/>
      <c r="AH16" s="13"/>
      <c r="AI16" s="13"/>
      <c r="AJ16" s="13"/>
      <c r="AK16" s="13"/>
      <c r="AL16" s="13"/>
    </row>
    <row r="17" spans="1:38" x14ac:dyDescent="0.25">
      <c r="A17" s="3" t="s">
        <v>13</v>
      </c>
      <c r="B17" s="7" t="str">
        <f t="shared" si="0"/>
        <v>Armadillidium_vulgare_OJH30286.1</v>
      </c>
      <c r="C17" s="8" t="s">
        <v>46</v>
      </c>
      <c r="D17" s="3" t="s">
        <v>15</v>
      </c>
      <c r="E17" s="3" t="s">
        <v>47</v>
      </c>
      <c r="F17" s="9" t="s">
        <v>48</v>
      </c>
      <c r="G17" s="128" t="s">
        <v>48</v>
      </c>
      <c r="H17" s="17">
        <v>1628</v>
      </c>
      <c r="I17" s="3" t="s">
        <v>18</v>
      </c>
      <c r="J17" s="3" t="s">
        <v>18</v>
      </c>
      <c r="K17" s="3" t="s">
        <v>19</v>
      </c>
      <c r="L17" s="3">
        <v>0</v>
      </c>
      <c r="M17" s="16">
        <v>0</v>
      </c>
      <c r="N17" s="6"/>
      <c r="O17" s="10"/>
      <c r="P17" s="10"/>
      <c r="Q17" s="13"/>
      <c r="R17" s="13"/>
      <c r="S17" s="13"/>
      <c r="T17" s="13"/>
      <c r="U17" s="13"/>
      <c r="V17" s="13"/>
      <c r="W17" s="13"/>
      <c r="X17" s="13"/>
      <c r="Y17" s="13"/>
      <c r="Z17" s="13"/>
      <c r="AA17" s="13"/>
      <c r="AB17" s="13"/>
      <c r="AC17" s="13"/>
      <c r="AD17" s="13"/>
      <c r="AE17" s="13"/>
      <c r="AF17" s="13"/>
      <c r="AG17" s="13"/>
      <c r="AH17" s="13"/>
      <c r="AI17" s="13"/>
      <c r="AJ17" s="13"/>
      <c r="AK17" s="13"/>
      <c r="AL17" s="13"/>
    </row>
    <row r="18" spans="1:38" x14ac:dyDescent="0.25">
      <c r="A18" s="3" t="s">
        <v>13</v>
      </c>
      <c r="B18" s="7" t="str">
        <f t="shared" si="0"/>
        <v>Armadillidium_vulgare_OJH31327.1</v>
      </c>
      <c r="C18" s="8" t="s">
        <v>46</v>
      </c>
      <c r="D18" s="3" t="s">
        <v>15</v>
      </c>
      <c r="E18" s="3" t="s">
        <v>47</v>
      </c>
      <c r="F18" s="9" t="s">
        <v>49</v>
      </c>
      <c r="G18" s="128" t="s">
        <v>49</v>
      </c>
      <c r="H18" s="17">
        <v>433</v>
      </c>
      <c r="I18" s="3" t="s">
        <v>18</v>
      </c>
      <c r="J18" s="3" t="s">
        <v>18</v>
      </c>
      <c r="K18" s="3" t="s">
        <v>19</v>
      </c>
      <c r="L18" s="3">
        <v>0</v>
      </c>
      <c r="M18" s="16">
        <v>0</v>
      </c>
      <c r="N18" s="6"/>
      <c r="O18" s="10"/>
      <c r="P18" s="10"/>
      <c r="Q18" s="13"/>
      <c r="R18" s="13"/>
      <c r="S18" s="13"/>
      <c r="T18" s="13"/>
      <c r="U18" s="13"/>
      <c r="V18" s="13"/>
      <c r="W18" s="13"/>
      <c r="X18" s="13"/>
      <c r="Y18" s="13"/>
      <c r="Z18" s="13"/>
      <c r="AA18" s="13"/>
      <c r="AB18" s="13"/>
      <c r="AC18" s="13"/>
      <c r="AD18" s="13"/>
      <c r="AE18" s="13"/>
      <c r="AF18" s="13"/>
      <c r="AG18" s="13"/>
      <c r="AH18" s="13"/>
      <c r="AI18" s="13"/>
      <c r="AJ18" s="13"/>
      <c r="AK18" s="13"/>
      <c r="AL18" s="13"/>
    </row>
    <row r="19" spans="1:38" x14ac:dyDescent="0.25">
      <c r="A19" s="3" t="s">
        <v>13</v>
      </c>
      <c r="B19" s="7" t="str">
        <f t="shared" si="0"/>
        <v>Armadillidium_vulgare_OJH31328.1</v>
      </c>
      <c r="C19" s="8" t="s">
        <v>46</v>
      </c>
      <c r="D19" s="3" t="s">
        <v>15</v>
      </c>
      <c r="E19" s="3" t="s">
        <v>47</v>
      </c>
      <c r="F19" s="9" t="s">
        <v>50</v>
      </c>
      <c r="G19" s="128" t="s">
        <v>50</v>
      </c>
      <c r="H19" s="17">
        <v>403</v>
      </c>
      <c r="I19" s="3" t="s">
        <v>18</v>
      </c>
      <c r="J19" s="3" t="s">
        <v>18</v>
      </c>
      <c r="K19" s="3" t="s">
        <v>19</v>
      </c>
      <c r="L19" s="3">
        <v>0</v>
      </c>
      <c r="M19" s="16">
        <v>0</v>
      </c>
      <c r="N19" s="6"/>
      <c r="O19" s="10"/>
      <c r="P19" s="10"/>
      <c r="Q19" s="13"/>
      <c r="R19" s="13"/>
      <c r="S19" s="13"/>
      <c r="T19" s="13"/>
      <c r="U19" s="13"/>
      <c r="V19" s="13"/>
      <c r="W19" s="13"/>
      <c r="X19" s="13"/>
      <c r="Y19" s="13"/>
      <c r="Z19" s="13"/>
      <c r="AA19" s="13"/>
      <c r="AB19" s="13"/>
      <c r="AC19" s="13"/>
      <c r="AD19" s="13"/>
      <c r="AE19" s="13"/>
      <c r="AF19" s="13"/>
      <c r="AG19" s="13"/>
      <c r="AH19" s="13"/>
      <c r="AI19" s="13"/>
      <c r="AJ19" s="13"/>
      <c r="AK19" s="13"/>
      <c r="AL19" s="13"/>
    </row>
    <row r="20" spans="1:38" x14ac:dyDescent="0.25">
      <c r="A20" s="3" t="s">
        <v>13</v>
      </c>
      <c r="B20" s="7" t="str">
        <f t="shared" si="0"/>
        <v>Armadillidium_vulgare_OJH31450.1</v>
      </c>
      <c r="C20" s="8" t="s">
        <v>46</v>
      </c>
      <c r="D20" s="3" t="s">
        <v>15</v>
      </c>
      <c r="E20" s="3" t="s">
        <v>47</v>
      </c>
      <c r="F20" s="9" t="s">
        <v>51</v>
      </c>
      <c r="G20" s="128" t="s">
        <v>51</v>
      </c>
      <c r="H20" s="17">
        <v>674</v>
      </c>
      <c r="I20" s="3" t="s">
        <v>18</v>
      </c>
      <c r="J20" s="3" t="s">
        <v>18</v>
      </c>
      <c r="K20" s="3" t="s">
        <v>19</v>
      </c>
      <c r="L20" s="3">
        <v>0</v>
      </c>
      <c r="M20" s="16">
        <v>0</v>
      </c>
      <c r="N20" s="16"/>
      <c r="O20" s="10"/>
      <c r="P20" s="10"/>
      <c r="Q20" s="13"/>
      <c r="R20" s="13"/>
      <c r="S20" s="13"/>
      <c r="T20" s="13"/>
      <c r="U20" s="13"/>
      <c r="V20" s="13"/>
      <c r="W20" s="13"/>
      <c r="X20" s="13"/>
      <c r="Y20" s="13"/>
      <c r="Z20" s="13"/>
      <c r="AA20" s="13"/>
      <c r="AB20" s="13"/>
      <c r="AC20" s="13"/>
      <c r="AD20" s="13"/>
      <c r="AE20" s="13"/>
      <c r="AF20" s="13"/>
      <c r="AG20" s="13"/>
      <c r="AH20" s="13"/>
      <c r="AI20" s="13"/>
      <c r="AJ20" s="13"/>
      <c r="AK20" s="13"/>
      <c r="AL20" s="13"/>
    </row>
    <row r="21" spans="1:38" x14ac:dyDescent="0.25">
      <c r="A21" s="3" t="s">
        <v>13</v>
      </c>
      <c r="B21" s="7" t="str">
        <f t="shared" si="0"/>
        <v>Armadillidium_vulgare_OJH31454.1</v>
      </c>
      <c r="C21" s="8" t="s">
        <v>46</v>
      </c>
      <c r="D21" s="3" t="s">
        <v>15</v>
      </c>
      <c r="E21" s="3" t="s">
        <v>47</v>
      </c>
      <c r="F21" s="9" t="s">
        <v>52</v>
      </c>
      <c r="G21" s="128" t="s">
        <v>52</v>
      </c>
      <c r="H21" s="17">
        <v>361</v>
      </c>
      <c r="I21" s="3" t="s">
        <v>18</v>
      </c>
      <c r="J21" s="3" t="s">
        <v>18</v>
      </c>
      <c r="K21" s="3" t="s">
        <v>19</v>
      </c>
      <c r="L21" s="3">
        <v>0</v>
      </c>
      <c r="M21" s="16">
        <v>0</v>
      </c>
      <c r="N21" s="16"/>
      <c r="O21" s="10"/>
      <c r="P21" s="10"/>
      <c r="Q21" s="13"/>
      <c r="R21" s="13"/>
      <c r="S21" s="13"/>
      <c r="T21" s="13"/>
      <c r="U21" s="13"/>
      <c r="V21" s="13"/>
      <c r="W21" s="13"/>
      <c r="X21" s="13"/>
      <c r="Y21" s="13"/>
      <c r="Z21" s="13"/>
      <c r="AA21" s="13"/>
      <c r="AB21" s="13"/>
      <c r="AC21" s="13"/>
      <c r="AD21" s="13"/>
      <c r="AE21" s="13"/>
      <c r="AF21" s="13"/>
      <c r="AG21" s="13"/>
      <c r="AH21" s="13"/>
      <c r="AI21" s="13"/>
      <c r="AJ21" s="13"/>
      <c r="AK21" s="13"/>
      <c r="AL21" s="13"/>
    </row>
    <row r="22" spans="1:38" x14ac:dyDescent="0.25">
      <c r="A22" s="3" t="s">
        <v>13</v>
      </c>
      <c r="B22" s="7" t="str">
        <f t="shared" si="0"/>
        <v>Armadillidium_vulgare_OJH31527.1</v>
      </c>
      <c r="C22" s="8" t="s">
        <v>46</v>
      </c>
      <c r="D22" s="3" t="s">
        <v>15</v>
      </c>
      <c r="E22" s="3" t="s">
        <v>47</v>
      </c>
      <c r="F22" s="9" t="s">
        <v>53</v>
      </c>
      <c r="G22" s="128" t="s">
        <v>53</v>
      </c>
      <c r="H22" s="17">
        <v>2770</v>
      </c>
      <c r="I22" s="3" t="s">
        <v>18</v>
      </c>
      <c r="J22" s="3" t="s">
        <v>18</v>
      </c>
      <c r="K22" s="3" t="s">
        <v>19</v>
      </c>
      <c r="L22" s="3">
        <v>1</v>
      </c>
      <c r="M22" s="16">
        <v>1</v>
      </c>
      <c r="N22" s="16"/>
      <c r="O22" s="10"/>
      <c r="P22" s="10"/>
      <c r="Q22" s="13"/>
      <c r="R22" s="13"/>
      <c r="S22" s="13"/>
      <c r="T22" s="13"/>
      <c r="U22" s="13"/>
      <c r="V22" s="13"/>
      <c r="W22" s="13"/>
      <c r="X22" s="13"/>
      <c r="Y22" s="13"/>
      <c r="Z22" s="13"/>
      <c r="AA22" s="13"/>
      <c r="AB22" s="13"/>
      <c r="AC22" s="13"/>
      <c r="AD22" s="13"/>
      <c r="AE22" s="13"/>
      <c r="AF22" s="13"/>
      <c r="AG22" s="13"/>
      <c r="AH22" s="13"/>
      <c r="AI22" s="13"/>
      <c r="AJ22" s="13"/>
      <c r="AK22" s="13"/>
      <c r="AL22" s="13"/>
    </row>
    <row r="23" spans="1:38" x14ac:dyDescent="0.25">
      <c r="A23" s="3" t="s">
        <v>13</v>
      </c>
      <c r="B23" s="7" t="str">
        <f t="shared" si="0"/>
        <v>Armadillidium_vulgare_OJH32251.1</v>
      </c>
      <c r="C23" s="8" t="s">
        <v>46</v>
      </c>
      <c r="D23" s="3" t="s">
        <v>15</v>
      </c>
      <c r="E23" s="3" t="s">
        <v>47</v>
      </c>
      <c r="F23" s="9" t="s">
        <v>54</v>
      </c>
      <c r="G23" s="128" t="s">
        <v>54</v>
      </c>
      <c r="H23" s="17">
        <v>2770</v>
      </c>
      <c r="I23" s="3" t="s">
        <v>18</v>
      </c>
      <c r="J23" s="3" t="s">
        <v>18</v>
      </c>
      <c r="K23" s="3" t="s">
        <v>19</v>
      </c>
      <c r="L23" s="18">
        <v>1</v>
      </c>
      <c r="M23" s="16">
        <v>1</v>
      </c>
      <c r="N23" s="16"/>
      <c r="O23" s="10"/>
      <c r="P23" s="10"/>
      <c r="Q23" s="13"/>
      <c r="R23" s="13"/>
      <c r="S23" s="13"/>
      <c r="T23" s="13"/>
      <c r="U23" s="13"/>
      <c r="V23" s="13"/>
      <c r="W23" s="13"/>
      <c r="X23" s="13"/>
      <c r="Y23" s="13"/>
      <c r="Z23" s="13"/>
      <c r="AA23" s="13"/>
      <c r="AB23" s="13"/>
      <c r="AC23" s="13"/>
      <c r="AD23" s="13"/>
      <c r="AE23" s="13"/>
      <c r="AF23" s="13"/>
      <c r="AG23" s="13"/>
      <c r="AH23" s="13"/>
      <c r="AI23" s="13"/>
      <c r="AJ23" s="13"/>
      <c r="AK23" s="13"/>
      <c r="AL23" s="13"/>
    </row>
    <row r="24" spans="1:38" x14ac:dyDescent="0.25">
      <c r="A24" s="3" t="s">
        <v>13</v>
      </c>
      <c r="B24" s="7" t="str">
        <f t="shared" si="0"/>
        <v>Armadillidium_vulgare_OJH32361.1</v>
      </c>
      <c r="C24" s="8" t="s">
        <v>46</v>
      </c>
      <c r="D24" s="3" t="s">
        <v>15</v>
      </c>
      <c r="E24" s="3" t="s">
        <v>47</v>
      </c>
      <c r="F24" s="9" t="s">
        <v>55</v>
      </c>
      <c r="G24" s="128" t="s">
        <v>55</v>
      </c>
      <c r="H24" s="3">
        <v>403</v>
      </c>
      <c r="I24" s="3" t="s">
        <v>18</v>
      </c>
      <c r="J24" s="3" t="s">
        <v>18</v>
      </c>
      <c r="K24" s="3" t="s">
        <v>19</v>
      </c>
      <c r="L24" s="3">
        <v>0</v>
      </c>
      <c r="M24" s="16">
        <v>0</v>
      </c>
      <c r="N24" s="16"/>
      <c r="O24" s="10"/>
      <c r="P24" s="10"/>
      <c r="Q24" s="13"/>
      <c r="R24" s="13"/>
      <c r="S24" s="13"/>
      <c r="T24" s="13"/>
      <c r="U24" s="13"/>
      <c r="V24" s="13"/>
      <c r="W24" s="13"/>
      <c r="X24" s="13"/>
      <c r="Y24" s="13"/>
      <c r="Z24" s="13"/>
      <c r="AA24" s="13"/>
      <c r="AB24" s="13"/>
      <c r="AC24" s="13"/>
      <c r="AD24" s="13"/>
      <c r="AE24" s="13"/>
      <c r="AF24" s="13"/>
      <c r="AG24" s="13"/>
      <c r="AH24" s="13"/>
      <c r="AI24" s="13"/>
      <c r="AJ24" s="13"/>
      <c r="AK24" s="13"/>
      <c r="AL24" s="13"/>
    </row>
    <row r="25" spans="1:38" x14ac:dyDescent="0.25">
      <c r="A25" s="3" t="s">
        <v>13</v>
      </c>
      <c r="B25" s="7" t="str">
        <f t="shared" si="0"/>
        <v>Armadillidium_vulgare_OJH32362.1</v>
      </c>
      <c r="C25" s="8" t="s">
        <v>46</v>
      </c>
      <c r="D25" s="3" t="s">
        <v>15</v>
      </c>
      <c r="E25" s="3" t="s">
        <v>47</v>
      </c>
      <c r="F25" s="9" t="s">
        <v>56</v>
      </c>
      <c r="G25" s="128" t="s">
        <v>56</v>
      </c>
      <c r="H25" s="3">
        <v>433</v>
      </c>
      <c r="I25" s="3" t="s">
        <v>18</v>
      </c>
      <c r="J25" s="3" t="s">
        <v>18</v>
      </c>
      <c r="K25" s="3" t="s">
        <v>19</v>
      </c>
      <c r="L25" s="3">
        <v>0</v>
      </c>
      <c r="M25" s="16">
        <v>0</v>
      </c>
      <c r="N25" s="16"/>
      <c r="O25" s="10"/>
      <c r="P25" s="10"/>
      <c r="Q25" s="13"/>
      <c r="R25" s="13"/>
      <c r="S25" s="13"/>
      <c r="T25" s="13"/>
      <c r="U25" s="13"/>
      <c r="V25" s="13"/>
      <c r="W25" s="13"/>
      <c r="X25" s="13"/>
      <c r="Y25" s="13"/>
      <c r="Z25" s="13"/>
      <c r="AA25" s="13"/>
      <c r="AB25" s="13"/>
      <c r="AC25" s="13"/>
      <c r="AD25" s="13"/>
      <c r="AE25" s="13"/>
      <c r="AF25" s="13"/>
      <c r="AG25" s="13"/>
      <c r="AH25" s="13"/>
      <c r="AI25" s="13"/>
      <c r="AJ25" s="13"/>
      <c r="AK25" s="13"/>
      <c r="AL25" s="13"/>
    </row>
    <row r="26" spans="1:38" x14ac:dyDescent="0.25">
      <c r="A26" s="3" t="s">
        <v>13</v>
      </c>
      <c r="B26" s="7" t="str">
        <f t="shared" si="0"/>
        <v>Armadillidium_vulgare_OJH32882.1</v>
      </c>
      <c r="C26" s="8" t="s">
        <v>46</v>
      </c>
      <c r="D26" s="3" t="s">
        <v>15</v>
      </c>
      <c r="E26" s="3" t="s">
        <v>47</v>
      </c>
      <c r="F26" s="9" t="s">
        <v>57</v>
      </c>
      <c r="G26" s="128" t="s">
        <v>57</v>
      </c>
      <c r="H26" s="3">
        <v>1803</v>
      </c>
      <c r="I26" s="3" t="s">
        <v>18</v>
      </c>
      <c r="J26" s="3" t="s">
        <v>18</v>
      </c>
      <c r="K26" s="3" t="s">
        <v>19</v>
      </c>
      <c r="L26" s="3">
        <v>0</v>
      </c>
      <c r="M26" s="16">
        <v>0</v>
      </c>
      <c r="N26" s="16"/>
      <c r="O26" s="10"/>
      <c r="P26" s="10"/>
      <c r="Q26" s="13"/>
      <c r="R26" s="13"/>
      <c r="S26" s="13"/>
      <c r="T26" s="13"/>
      <c r="U26" s="13"/>
      <c r="V26" s="13"/>
      <c r="W26" s="13"/>
      <c r="X26" s="13"/>
      <c r="Y26" s="13"/>
      <c r="Z26" s="13"/>
      <c r="AA26" s="13"/>
      <c r="AB26" s="13"/>
      <c r="AC26" s="13"/>
      <c r="AD26" s="13"/>
      <c r="AE26" s="13"/>
      <c r="AF26" s="13"/>
      <c r="AG26" s="13"/>
      <c r="AH26" s="13"/>
      <c r="AI26" s="13"/>
      <c r="AJ26" s="13"/>
      <c r="AK26" s="13"/>
      <c r="AL26" s="13"/>
    </row>
    <row r="27" spans="1:38" x14ac:dyDescent="0.25">
      <c r="A27" s="3" t="s">
        <v>13</v>
      </c>
      <c r="B27" s="7" t="str">
        <f t="shared" si="0"/>
        <v>Armadillidium_vulgare_OJH32952.1</v>
      </c>
      <c r="C27" s="8" t="s">
        <v>46</v>
      </c>
      <c r="D27" s="3" t="s">
        <v>15</v>
      </c>
      <c r="E27" s="3" t="s">
        <v>47</v>
      </c>
      <c r="F27" s="9" t="s">
        <v>58</v>
      </c>
      <c r="G27" s="128" t="s">
        <v>58</v>
      </c>
      <c r="H27" s="17">
        <v>2770</v>
      </c>
      <c r="I27" s="3" t="s">
        <v>18</v>
      </c>
      <c r="J27" s="3" t="s">
        <v>18</v>
      </c>
      <c r="K27" s="3" t="s">
        <v>19</v>
      </c>
      <c r="L27" s="18">
        <v>1</v>
      </c>
      <c r="M27" s="16">
        <v>1</v>
      </c>
      <c r="N27" s="16"/>
      <c r="O27" s="10"/>
      <c r="P27" s="10"/>
      <c r="Q27" s="13"/>
      <c r="R27" s="13"/>
      <c r="S27" s="13"/>
      <c r="T27" s="13"/>
      <c r="U27" s="13"/>
      <c r="V27" s="13"/>
      <c r="W27" s="13"/>
      <c r="X27" s="13"/>
      <c r="Y27" s="13"/>
      <c r="Z27" s="13"/>
      <c r="AA27" s="13"/>
      <c r="AB27" s="13"/>
      <c r="AC27" s="13"/>
      <c r="AD27" s="13"/>
      <c r="AE27" s="13"/>
      <c r="AF27" s="13"/>
      <c r="AG27" s="13"/>
      <c r="AH27" s="13"/>
      <c r="AI27" s="13"/>
      <c r="AJ27" s="13"/>
      <c r="AK27" s="13"/>
      <c r="AL27" s="13"/>
    </row>
    <row r="28" spans="1:38" x14ac:dyDescent="0.25">
      <c r="A28" s="3" t="s">
        <v>13</v>
      </c>
      <c r="B28" s="7" t="str">
        <f t="shared" si="0"/>
        <v>Brachionus_calyciflorus_CAF0888058.1</v>
      </c>
      <c r="C28" s="8" t="s">
        <v>59</v>
      </c>
      <c r="D28" s="3" t="s">
        <v>60</v>
      </c>
      <c r="E28" s="3"/>
      <c r="F28" s="9" t="s">
        <v>61</v>
      </c>
      <c r="G28" s="128" t="s">
        <v>61</v>
      </c>
      <c r="H28" s="3">
        <v>4537</v>
      </c>
      <c r="I28" s="3" t="s">
        <v>18</v>
      </c>
      <c r="J28" s="3" t="s">
        <v>18</v>
      </c>
      <c r="K28" s="3" t="s">
        <v>19</v>
      </c>
      <c r="L28" s="3">
        <v>1</v>
      </c>
      <c r="M28" s="3">
        <v>1</v>
      </c>
      <c r="N28" s="16"/>
      <c r="O28" s="10"/>
      <c r="P28" s="10"/>
      <c r="Q28" s="13"/>
      <c r="R28" s="13"/>
      <c r="S28" s="13"/>
      <c r="T28" s="13"/>
      <c r="U28" s="13"/>
      <c r="V28" s="13"/>
      <c r="W28" s="13"/>
      <c r="X28" s="13"/>
      <c r="Y28" s="13"/>
      <c r="Z28" s="13"/>
      <c r="AA28" s="13"/>
      <c r="AB28" s="13"/>
      <c r="AC28" s="13"/>
      <c r="AD28" s="13"/>
      <c r="AE28" s="13"/>
      <c r="AF28" s="13"/>
      <c r="AG28" s="13"/>
      <c r="AH28" s="13"/>
      <c r="AI28" s="13"/>
      <c r="AJ28" s="13"/>
      <c r="AK28" s="13"/>
      <c r="AL28" s="13"/>
    </row>
    <row r="29" spans="1:38" x14ac:dyDescent="0.25">
      <c r="A29" s="3" t="s">
        <v>13</v>
      </c>
      <c r="B29" s="7" t="str">
        <f t="shared" si="0"/>
        <v>Cinara_cedri_VVC27379.1</v>
      </c>
      <c r="C29" s="8" t="s">
        <v>62</v>
      </c>
      <c r="D29" s="3" t="s">
        <v>15</v>
      </c>
      <c r="E29" s="3" t="s">
        <v>63</v>
      </c>
      <c r="F29" s="9" t="s">
        <v>64</v>
      </c>
      <c r="G29" s="128" t="s">
        <v>64</v>
      </c>
      <c r="H29" s="3">
        <v>364</v>
      </c>
      <c r="I29" s="3" t="s">
        <v>18</v>
      </c>
      <c r="J29" s="3" t="s">
        <v>18</v>
      </c>
      <c r="K29" s="3" t="s">
        <v>19</v>
      </c>
      <c r="L29" s="3">
        <v>0</v>
      </c>
      <c r="M29" s="16">
        <v>0</v>
      </c>
      <c r="N29" s="16"/>
      <c r="O29" s="10"/>
      <c r="P29" s="10"/>
      <c r="Q29" s="13"/>
      <c r="R29" s="13"/>
      <c r="S29" s="13"/>
      <c r="T29" s="13"/>
      <c r="U29" s="13"/>
      <c r="V29" s="13"/>
      <c r="W29" s="13"/>
      <c r="X29" s="13"/>
      <c r="Y29" s="13"/>
      <c r="Z29" s="13"/>
      <c r="AA29" s="13"/>
      <c r="AB29" s="13"/>
      <c r="AC29" s="13"/>
      <c r="AD29" s="13"/>
      <c r="AE29" s="13"/>
      <c r="AF29" s="13"/>
      <c r="AG29" s="13"/>
      <c r="AH29" s="13"/>
      <c r="AI29" s="13"/>
      <c r="AJ29" s="13"/>
      <c r="AK29" s="13"/>
      <c r="AL29" s="13"/>
    </row>
    <row r="30" spans="1:38" x14ac:dyDescent="0.25">
      <c r="A30" s="3" t="s">
        <v>13</v>
      </c>
      <c r="B30" s="7" t="str">
        <f t="shared" si="0"/>
        <v>Cinara_cedri_VVC39142.1</v>
      </c>
      <c r="C30" s="8" t="s">
        <v>62</v>
      </c>
      <c r="D30" s="3" t="s">
        <v>15</v>
      </c>
      <c r="E30" s="3" t="s">
        <v>63</v>
      </c>
      <c r="F30" s="9" t="s">
        <v>65</v>
      </c>
      <c r="G30" s="128" t="s">
        <v>65</v>
      </c>
      <c r="H30" s="3">
        <v>264</v>
      </c>
      <c r="I30" s="3" t="s">
        <v>18</v>
      </c>
      <c r="J30" s="3" t="s">
        <v>18</v>
      </c>
      <c r="K30" s="3" t="s">
        <v>19</v>
      </c>
      <c r="L30" s="3">
        <v>0</v>
      </c>
      <c r="M30" s="3">
        <v>0</v>
      </c>
      <c r="N30" s="16"/>
      <c r="O30" s="10"/>
      <c r="P30" s="10"/>
      <c r="Q30" s="13"/>
      <c r="R30" s="13"/>
      <c r="S30" s="13"/>
      <c r="T30" s="13"/>
      <c r="U30" s="13"/>
      <c r="V30" s="13"/>
      <c r="W30" s="13"/>
      <c r="X30" s="13"/>
      <c r="Y30" s="13"/>
      <c r="Z30" s="13"/>
      <c r="AA30" s="13"/>
      <c r="AB30" s="13"/>
      <c r="AC30" s="13"/>
      <c r="AD30" s="13"/>
      <c r="AE30" s="13"/>
      <c r="AF30" s="13"/>
      <c r="AG30" s="13"/>
      <c r="AH30" s="13"/>
      <c r="AI30" s="13"/>
      <c r="AJ30" s="13"/>
      <c r="AK30" s="13"/>
      <c r="AL30" s="13"/>
    </row>
    <row r="31" spans="1:38" x14ac:dyDescent="0.25">
      <c r="A31" s="3" t="s">
        <v>13</v>
      </c>
      <c r="B31" s="7" t="str">
        <f t="shared" si="0"/>
        <v>Clubiona_pallidula_OZ375492.1</v>
      </c>
      <c r="C31" s="8" t="s">
        <v>66</v>
      </c>
      <c r="D31" s="3" t="s">
        <v>15</v>
      </c>
      <c r="E31" s="3" t="s">
        <v>36</v>
      </c>
      <c r="F31" s="9" t="s">
        <v>67</v>
      </c>
      <c r="G31" s="128" t="s">
        <v>67</v>
      </c>
      <c r="H31" s="3">
        <v>347</v>
      </c>
      <c r="I31" s="3" t="s">
        <v>27</v>
      </c>
      <c r="J31" s="3" t="s">
        <v>68</v>
      </c>
      <c r="K31" s="3" t="s">
        <v>29</v>
      </c>
      <c r="L31" s="3">
        <v>0</v>
      </c>
      <c r="M31" s="3">
        <v>0</v>
      </c>
      <c r="N31" s="16"/>
      <c r="O31" s="10"/>
      <c r="P31" s="10"/>
      <c r="Q31" s="13"/>
      <c r="R31" s="13"/>
      <c r="S31" s="13"/>
      <c r="T31" s="13"/>
      <c r="U31" s="13"/>
      <c r="V31" s="13"/>
      <c r="W31" s="13"/>
      <c r="X31" s="13"/>
      <c r="Y31" s="13"/>
      <c r="Z31" s="13"/>
      <c r="AA31" s="13"/>
      <c r="AB31" s="13"/>
      <c r="AC31" s="13"/>
      <c r="AD31" s="13"/>
      <c r="AE31" s="13"/>
      <c r="AF31" s="13"/>
      <c r="AG31" s="13"/>
      <c r="AH31" s="13"/>
      <c r="AI31" s="13"/>
      <c r="AJ31" s="13"/>
      <c r="AK31" s="13"/>
      <c r="AL31" s="13"/>
    </row>
    <row r="32" spans="1:38" x14ac:dyDescent="0.25">
      <c r="A32" s="3" t="s">
        <v>13</v>
      </c>
      <c r="B32" s="7" t="str">
        <f t="shared" si="0"/>
        <v>Coccinella_septempunctata_XP_044747138.1</v>
      </c>
      <c r="C32" s="8" t="s">
        <v>69</v>
      </c>
      <c r="D32" s="3" t="s">
        <v>15</v>
      </c>
      <c r="E32" s="3" t="s">
        <v>16</v>
      </c>
      <c r="F32" s="9" t="s">
        <v>70</v>
      </c>
      <c r="G32" s="128" t="s">
        <v>70</v>
      </c>
      <c r="H32" s="3">
        <v>1657</v>
      </c>
      <c r="I32" s="3" t="s">
        <v>18</v>
      </c>
      <c r="J32" s="3" t="s">
        <v>18</v>
      </c>
      <c r="K32" s="3" t="s">
        <v>19</v>
      </c>
      <c r="L32" s="3">
        <v>0</v>
      </c>
      <c r="M32" s="3">
        <v>0</v>
      </c>
      <c r="N32" s="16"/>
      <c r="O32" s="10"/>
      <c r="P32" s="10"/>
      <c r="Q32" s="13"/>
      <c r="R32" s="13"/>
      <c r="S32" s="13"/>
      <c r="T32" s="13"/>
      <c r="U32" s="13"/>
      <c r="V32" s="13"/>
      <c r="W32" s="13"/>
      <c r="X32" s="13"/>
      <c r="Y32" s="13"/>
      <c r="Z32" s="13"/>
      <c r="AA32" s="13"/>
      <c r="AB32" s="13"/>
      <c r="AC32" s="13"/>
      <c r="AD32" s="13"/>
      <c r="AE32" s="13"/>
      <c r="AF32" s="13"/>
      <c r="AG32" s="13"/>
      <c r="AH32" s="13"/>
      <c r="AI32" s="13"/>
      <c r="AJ32" s="13"/>
      <c r="AK32" s="13"/>
      <c r="AL32" s="13"/>
    </row>
    <row r="33" spans="1:38" x14ac:dyDescent="0.25">
      <c r="A33" s="3" t="s">
        <v>13</v>
      </c>
      <c r="B33" s="7" t="str">
        <f t="shared" si="0"/>
        <v>Dendroctonus_ponderosae_KAH1011015.1</v>
      </c>
      <c r="C33" s="8" t="s">
        <v>71</v>
      </c>
      <c r="D33" s="3" t="s">
        <v>15</v>
      </c>
      <c r="E33" s="3" t="s">
        <v>16</v>
      </c>
      <c r="F33" s="9" t="s">
        <v>72</v>
      </c>
      <c r="G33" s="128" t="s">
        <v>72</v>
      </c>
      <c r="H33" s="3">
        <v>1247</v>
      </c>
      <c r="I33" s="3" t="s">
        <v>27</v>
      </c>
      <c r="J33" s="3" t="s">
        <v>33</v>
      </c>
      <c r="K33" s="3" t="s">
        <v>19</v>
      </c>
      <c r="L33" s="3">
        <v>1</v>
      </c>
      <c r="M33" s="3">
        <v>1</v>
      </c>
      <c r="N33" s="16"/>
      <c r="O33" s="10"/>
      <c r="P33" s="10"/>
      <c r="Q33" s="13"/>
      <c r="R33" s="13"/>
      <c r="S33" s="13"/>
      <c r="T33" s="13"/>
      <c r="U33" s="13"/>
      <c r="V33" s="13"/>
      <c r="W33" s="13"/>
      <c r="X33" s="13"/>
      <c r="Y33" s="13"/>
      <c r="Z33" s="13"/>
      <c r="AA33" s="13"/>
      <c r="AB33" s="13"/>
      <c r="AC33" s="13"/>
      <c r="AD33" s="13"/>
      <c r="AE33" s="13"/>
      <c r="AF33" s="13"/>
      <c r="AG33" s="13"/>
      <c r="AH33" s="13"/>
      <c r="AI33" s="13"/>
      <c r="AJ33" s="13"/>
      <c r="AK33" s="13"/>
      <c r="AL33" s="13"/>
    </row>
    <row r="34" spans="1:38" x14ac:dyDescent="0.25">
      <c r="A34" s="3" t="s">
        <v>13</v>
      </c>
      <c r="B34" s="7" t="str">
        <f t="shared" ref="B34:B65" si="1">_xlfn.CONCAT(C34,"_",G34)</f>
        <v>Dendroctonus_ponderosae_XP_019765666.2</v>
      </c>
      <c r="C34" s="8" t="s">
        <v>71</v>
      </c>
      <c r="D34" s="3" t="s">
        <v>15</v>
      </c>
      <c r="E34" s="3" t="s">
        <v>16</v>
      </c>
      <c r="F34" s="9" t="s">
        <v>73</v>
      </c>
      <c r="G34" s="128" t="s">
        <v>74</v>
      </c>
      <c r="H34" s="3">
        <v>4507</v>
      </c>
      <c r="I34" s="3" t="s">
        <v>27</v>
      </c>
      <c r="J34" s="3" t="s">
        <v>68</v>
      </c>
      <c r="K34" s="3" t="s">
        <v>19</v>
      </c>
      <c r="L34" s="3">
        <v>1</v>
      </c>
      <c r="M34" s="3">
        <v>1</v>
      </c>
      <c r="N34" s="16"/>
      <c r="O34" s="10"/>
      <c r="P34" s="10"/>
      <c r="Q34" s="13"/>
      <c r="R34" s="13"/>
      <c r="S34" s="13"/>
      <c r="T34" s="13"/>
      <c r="U34" s="13"/>
      <c r="V34" s="13"/>
      <c r="W34" s="13"/>
      <c r="X34" s="13"/>
      <c r="Y34" s="13"/>
      <c r="Z34" s="13"/>
      <c r="AA34" s="13"/>
      <c r="AB34" s="13"/>
      <c r="AC34" s="13"/>
      <c r="AD34" s="13"/>
      <c r="AE34" s="13"/>
      <c r="AF34" s="13"/>
      <c r="AG34" s="13"/>
      <c r="AH34" s="13"/>
      <c r="AI34" s="13"/>
      <c r="AJ34" s="13"/>
      <c r="AK34" s="13"/>
      <c r="AL34" s="13"/>
    </row>
    <row r="35" spans="1:38" x14ac:dyDescent="0.25">
      <c r="A35" s="3" t="s">
        <v>13</v>
      </c>
      <c r="B35" s="7" t="str">
        <f t="shared" si="1"/>
        <v>Dendroctonus_ponderosae_XP_048521503.1</v>
      </c>
      <c r="C35" s="8" t="s">
        <v>71</v>
      </c>
      <c r="D35" s="3" t="s">
        <v>15</v>
      </c>
      <c r="E35" s="3" t="s">
        <v>16</v>
      </c>
      <c r="F35" s="9" t="s">
        <v>75</v>
      </c>
      <c r="G35" s="128" t="s">
        <v>76</v>
      </c>
      <c r="H35" s="3">
        <v>4507</v>
      </c>
      <c r="I35" s="3" t="s">
        <v>27</v>
      </c>
      <c r="J35" s="3" t="s">
        <v>68</v>
      </c>
      <c r="K35" s="3" t="s">
        <v>19</v>
      </c>
      <c r="L35" s="3">
        <v>1</v>
      </c>
      <c r="M35" s="3">
        <v>1</v>
      </c>
      <c r="N35" s="16"/>
      <c r="O35" s="10"/>
      <c r="P35" s="10"/>
      <c r="Q35" s="13"/>
      <c r="R35" s="13"/>
      <c r="S35" s="13"/>
      <c r="T35" s="13"/>
      <c r="U35" s="13"/>
      <c r="V35" s="13"/>
      <c r="W35" s="13"/>
      <c r="X35" s="13"/>
      <c r="Y35" s="13"/>
      <c r="Z35" s="13"/>
      <c r="AA35" s="13"/>
      <c r="AB35" s="13"/>
      <c r="AC35" s="13"/>
      <c r="AD35" s="13"/>
      <c r="AE35" s="13"/>
      <c r="AF35" s="13"/>
      <c r="AG35" s="13"/>
      <c r="AH35" s="13"/>
      <c r="AI35" s="13"/>
      <c r="AJ35" s="13"/>
      <c r="AK35" s="13"/>
      <c r="AL35" s="13"/>
    </row>
    <row r="36" spans="1:38" x14ac:dyDescent="0.25">
      <c r="A36" s="3" t="s">
        <v>13</v>
      </c>
      <c r="B36" s="7" t="str">
        <f t="shared" si="1"/>
        <v>Dendroctonus_ponderosae_XP_019765667.1</v>
      </c>
      <c r="C36" s="8" t="s">
        <v>71</v>
      </c>
      <c r="D36" s="3" t="s">
        <v>15</v>
      </c>
      <c r="E36" s="3" t="s">
        <v>16</v>
      </c>
      <c r="F36" s="9" t="s">
        <v>77</v>
      </c>
      <c r="G36" s="128" t="s">
        <v>77</v>
      </c>
      <c r="H36" s="3">
        <v>1249</v>
      </c>
      <c r="I36" s="3" t="s">
        <v>27</v>
      </c>
      <c r="J36" s="3" t="s">
        <v>33</v>
      </c>
      <c r="K36" s="3" t="s">
        <v>19</v>
      </c>
      <c r="L36" s="3">
        <v>1</v>
      </c>
      <c r="M36" s="3">
        <v>1</v>
      </c>
      <c r="N36" s="16"/>
      <c r="O36" s="10"/>
      <c r="P36" s="10"/>
      <c r="Q36" s="13"/>
      <c r="R36" s="13"/>
      <c r="S36" s="13"/>
      <c r="T36" s="13"/>
      <c r="U36" s="13"/>
      <c r="V36" s="13"/>
      <c r="W36" s="13"/>
      <c r="X36" s="13"/>
      <c r="Y36" s="13"/>
      <c r="Z36" s="13"/>
      <c r="AA36" s="13"/>
      <c r="AB36" s="13"/>
      <c r="AC36" s="13"/>
      <c r="AD36" s="13"/>
      <c r="AE36" s="13"/>
      <c r="AF36" s="13"/>
      <c r="AG36" s="13"/>
      <c r="AH36" s="13"/>
      <c r="AI36" s="13"/>
      <c r="AJ36" s="13"/>
      <c r="AK36" s="13"/>
      <c r="AL36" s="13"/>
    </row>
    <row r="37" spans="1:38" x14ac:dyDescent="0.25">
      <c r="A37" s="3" t="s">
        <v>13</v>
      </c>
      <c r="B37" s="7" t="str">
        <f t="shared" si="1"/>
        <v>Ditylenchus_destructor_KAI1710873.1</v>
      </c>
      <c r="C37" s="8" t="s">
        <v>78</v>
      </c>
      <c r="D37" s="3" t="s">
        <v>79</v>
      </c>
      <c r="E37" s="3"/>
      <c r="F37" s="7" t="s">
        <v>80</v>
      </c>
      <c r="G37" s="130" t="s">
        <v>80</v>
      </c>
      <c r="H37" s="3">
        <v>521</v>
      </c>
      <c r="I37" s="3" t="s">
        <v>27</v>
      </c>
      <c r="J37" s="3" t="s">
        <v>33</v>
      </c>
      <c r="K37" s="3" t="s">
        <v>19</v>
      </c>
      <c r="L37" s="3">
        <v>0</v>
      </c>
      <c r="M37" s="3">
        <v>0</v>
      </c>
      <c r="N37" s="16"/>
      <c r="O37" s="10"/>
      <c r="P37" s="10"/>
      <c r="Q37" s="13"/>
      <c r="R37" s="13"/>
      <c r="S37" s="13"/>
      <c r="T37" s="13"/>
      <c r="U37" s="13"/>
      <c r="V37" s="13"/>
      <c r="W37" s="13"/>
      <c r="X37" s="13"/>
      <c r="Y37" s="13"/>
      <c r="Z37" s="13"/>
      <c r="AA37" s="13"/>
      <c r="AB37" s="13"/>
      <c r="AC37" s="13"/>
      <c r="AD37" s="13"/>
      <c r="AE37" s="13"/>
      <c r="AF37" s="13"/>
      <c r="AG37" s="13"/>
      <c r="AH37" s="13"/>
      <c r="AI37" s="13"/>
      <c r="AJ37" s="13"/>
      <c r="AK37" s="13"/>
      <c r="AL37" s="13"/>
    </row>
    <row r="38" spans="1:38" x14ac:dyDescent="0.25">
      <c r="A38" s="3" t="s">
        <v>13</v>
      </c>
      <c r="B38" s="7" t="str">
        <f t="shared" si="1"/>
        <v>Ditylenchus_destructor_KAI1712998.1</v>
      </c>
      <c r="C38" s="8" t="s">
        <v>78</v>
      </c>
      <c r="D38" s="3" t="s">
        <v>79</v>
      </c>
      <c r="E38" s="3"/>
      <c r="F38" s="9" t="s">
        <v>81</v>
      </c>
      <c r="G38" s="128" t="s">
        <v>81</v>
      </c>
      <c r="H38" s="3">
        <v>1797</v>
      </c>
      <c r="I38" s="3" t="s">
        <v>27</v>
      </c>
      <c r="J38" s="3" t="s">
        <v>33</v>
      </c>
      <c r="K38" s="3" t="s">
        <v>19</v>
      </c>
      <c r="L38" s="3">
        <v>1</v>
      </c>
      <c r="M38" s="3">
        <v>0</v>
      </c>
      <c r="N38" s="16"/>
      <c r="O38" s="10"/>
      <c r="P38" s="10"/>
      <c r="Q38" s="13"/>
      <c r="R38" s="13"/>
      <c r="S38" s="13"/>
      <c r="T38" s="13"/>
      <c r="U38" s="13"/>
      <c r="V38" s="13"/>
      <c r="W38" s="13"/>
      <c r="X38" s="13"/>
      <c r="Y38" s="13"/>
      <c r="Z38" s="13"/>
      <c r="AA38" s="13"/>
      <c r="AB38" s="13"/>
      <c r="AC38" s="13"/>
      <c r="AD38" s="13"/>
      <c r="AE38" s="13"/>
      <c r="AF38" s="13"/>
      <c r="AG38" s="13"/>
      <c r="AH38" s="13"/>
      <c r="AI38" s="13"/>
      <c r="AJ38" s="13"/>
      <c r="AK38" s="13"/>
      <c r="AL38" s="13"/>
    </row>
    <row r="39" spans="1:38" x14ac:dyDescent="0.25">
      <c r="A39" s="3" t="s">
        <v>13</v>
      </c>
      <c r="B39" s="7" t="str">
        <f t="shared" si="1"/>
        <v>Drosophila_ananassae_EF611939.1</v>
      </c>
      <c r="C39" s="8" t="s">
        <v>82</v>
      </c>
      <c r="D39" s="3" t="s">
        <v>15</v>
      </c>
      <c r="E39" s="3" t="s">
        <v>83</v>
      </c>
      <c r="F39" s="7" t="s">
        <v>84</v>
      </c>
      <c r="G39" s="130" t="s">
        <v>84</v>
      </c>
      <c r="H39" s="3">
        <v>87</v>
      </c>
      <c r="I39" s="3" t="s">
        <v>27</v>
      </c>
      <c r="J39" s="3" t="s">
        <v>68</v>
      </c>
      <c r="K39" s="3" t="s">
        <v>29</v>
      </c>
      <c r="L39" s="3">
        <v>0</v>
      </c>
      <c r="M39" s="3">
        <v>0</v>
      </c>
      <c r="N39" s="16"/>
      <c r="O39" s="10"/>
      <c r="P39" s="10"/>
      <c r="Q39" s="13"/>
      <c r="R39" s="13"/>
      <c r="S39" s="13"/>
      <c r="T39" s="13"/>
      <c r="U39" s="13"/>
      <c r="V39" s="13"/>
      <c r="W39" s="13"/>
      <c r="X39" s="13"/>
      <c r="Y39" s="13"/>
      <c r="Z39" s="13"/>
      <c r="AA39" s="13"/>
      <c r="AB39" s="13"/>
      <c r="AC39" s="13"/>
      <c r="AD39" s="13"/>
      <c r="AE39" s="13"/>
      <c r="AF39" s="13"/>
      <c r="AG39" s="13"/>
      <c r="AH39" s="13"/>
      <c r="AI39" s="13"/>
      <c r="AJ39" s="13"/>
      <c r="AK39" s="13"/>
      <c r="AL39" s="13"/>
    </row>
    <row r="40" spans="1:38" x14ac:dyDescent="0.25">
      <c r="A40" s="3" t="s">
        <v>13</v>
      </c>
      <c r="B40" s="7" t="str">
        <f t="shared" si="1"/>
        <v>Drosophila_ananassae_EF611940.1</v>
      </c>
      <c r="C40" s="8" t="s">
        <v>82</v>
      </c>
      <c r="D40" s="3" t="s">
        <v>15</v>
      </c>
      <c r="E40" s="3" t="s">
        <v>83</v>
      </c>
      <c r="F40" s="7" t="s">
        <v>85</v>
      </c>
      <c r="G40" s="130" t="s">
        <v>85</v>
      </c>
      <c r="H40" s="3">
        <v>88</v>
      </c>
      <c r="I40" s="3" t="s">
        <v>27</v>
      </c>
      <c r="J40" s="3" t="s">
        <v>68</v>
      </c>
      <c r="K40" s="3" t="s">
        <v>29</v>
      </c>
      <c r="L40" s="3">
        <v>0</v>
      </c>
      <c r="M40" s="3">
        <v>0</v>
      </c>
      <c r="N40" s="16"/>
      <c r="O40" s="10"/>
      <c r="P40" s="10"/>
      <c r="Q40" s="13"/>
      <c r="R40" s="13"/>
      <c r="S40" s="13"/>
      <c r="T40" s="13"/>
      <c r="U40" s="13"/>
      <c r="V40" s="13"/>
      <c r="W40" s="13"/>
      <c r="X40" s="13"/>
      <c r="Y40" s="13"/>
      <c r="Z40" s="13"/>
      <c r="AA40" s="13"/>
      <c r="AB40" s="13"/>
      <c r="AC40" s="13"/>
      <c r="AD40" s="13"/>
      <c r="AE40" s="13"/>
      <c r="AF40" s="13"/>
      <c r="AG40" s="13"/>
      <c r="AH40" s="13"/>
      <c r="AI40" s="13"/>
      <c r="AJ40" s="13"/>
      <c r="AK40" s="13"/>
      <c r="AL40" s="13"/>
    </row>
    <row r="41" spans="1:38" x14ac:dyDescent="0.25">
      <c r="A41" s="3" t="s">
        <v>13</v>
      </c>
      <c r="B41" s="7" t="str">
        <f t="shared" si="1"/>
        <v>Drosophila_ananassae_NW_025319039.1</v>
      </c>
      <c r="C41" s="19" t="s">
        <v>82</v>
      </c>
      <c r="D41" s="3" t="s">
        <v>15</v>
      </c>
      <c r="E41" s="3" t="s">
        <v>83</v>
      </c>
      <c r="F41" s="20" t="s">
        <v>86</v>
      </c>
      <c r="G41" s="132" t="s">
        <v>86</v>
      </c>
      <c r="H41" s="17">
        <v>902</v>
      </c>
      <c r="I41" s="3" t="s">
        <v>87</v>
      </c>
      <c r="J41" s="21" t="s">
        <v>68</v>
      </c>
      <c r="K41" s="3" t="s">
        <v>29</v>
      </c>
      <c r="L41" s="3">
        <v>1</v>
      </c>
      <c r="M41" s="3">
        <v>1</v>
      </c>
      <c r="N41" s="16"/>
      <c r="O41" s="10"/>
      <c r="P41" s="10"/>
      <c r="Q41" s="13"/>
      <c r="R41" s="13"/>
      <c r="S41" s="13"/>
      <c r="T41" s="13"/>
      <c r="U41" s="13"/>
      <c r="V41" s="13"/>
      <c r="W41" s="13"/>
      <c r="X41" s="13"/>
      <c r="Y41" s="13"/>
      <c r="Z41" s="13"/>
      <c r="AA41" s="13"/>
      <c r="AB41" s="13"/>
      <c r="AC41" s="13"/>
      <c r="AD41" s="13"/>
      <c r="AE41" s="13"/>
      <c r="AF41" s="13"/>
      <c r="AG41" s="13"/>
      <c r="AH41" s="13"/>
      <c r="AI41" s="13"/>
      <c r="AJ41" s="13"/>
      <c r="AK41" s="13"/>
      <c r="AL41" s="13"/>
    </row>
    <row r="42" spans="1:38" x14ac:dyDescent="0.25">
      <c r="A42" s="3" t="s">
        <v>13</v>
      </c>
      <c r="B42" s="7" t="str">
        <f t="shared" si="1"/>
        <v>Drosophila_ananassae_NW_025319040.1</v>
      </c>
      <c r="C42" s="19" t="s">
        <v>82</v>
      </c>
      <c r="D42" s="3" t="s">
        <v>15</v>
      </c>
      <c r="E42" s="3" t="s">
        <v>83</v>
      </c>
      <c r="F42" s="20" t="s">
        <v>88</v>
      </c>
      <c r="G42" s="132" t="s">
        <v>88</v>
      </c>
      <c r="H42" s="17">
        <v>902</v>
      </c>
      <c r="I42" s="3" t="s">
        <v>87</v>
      </c>
      <c r="J42" s="21" t="s">
        <v>68</v>
      </c>
      <c r="K42" s="3" t="s">
        <v>29</v>
      </c>
      <c r="L42" s="3">
        <v>1</v>
      </c>
      <c r="M42" s="3">
        <v>1</v>
      </c>
      <c r="N42" s="16"/>
      <c r="O42" s="10"/>
      <c r="P42" s="10"/>
      <c r="Q42" s="13"/>
      <c r="R42" s="13"/>
      <c r="S42" s="13"/>
      <c r="T42" s="13"/>
      <c r="U42" s="13"/>
      <c r="V42" s="13"/>
      <c r="W42" s="13"/>
      <c r="X42" s="13"/>
      <c r="Y42" s="13"/>
      <c r="Z42" s="13"/>
      <c r="AA42" s="13"/>
      <c r="AB42" s="13"/>
      <c r="AC42" s="13"/>
      <c r="AD42" s="13"/>
      <c r="AE42" s="13"/>
      <c r="AF42" s="13"/>
      <c r="AG42" s="13"/>
      <c r="AH42" s="13"/>
      <c r="AI42" s="13"/>
      <c r="AJ42" s="13"/>
      <c r="AK42" s="13"/>
      <c r="AL42" s="13"/>
    </row>
    <row r="43" spans="1:38" x14ac:dyDescent="0.25">
      <c r="A43" s="3" t="s">
        <v>13</v>
      </c>
      <c r="B43" s="7" t="str">
        <f t="shared" si="1"/>
        <v>Drosophila_ananassae_NW_025319042.1</v>
      </c>
      <c r="C43" s="19" t="s">
        <v>82</v>
      </c>
      <c r="D43" s="3" t="s">
        <v>15</v>
      </c>
      <c r="E43" s="3" t="s">
        <v>83</v>
      </c>
      <c r="F43" s="20" t="s">
        <v>89</v>
      </c>
      <c r="G43" s="132" t="s">
        <v>89</v>
      </c>
      <c r="H43" s="17">
        <v>754</v>
      </c>
      <c r="I43" s="3" t="s">
        <v>87</v>
      </c>
      <c r="J43" s="21" t="s">
        <v>28</v>
      </c>
      <c r="K43" s="3" t="s">
        <v>29</v>
      </c>
      <c r="L43" s="3">
        <v>1</v>
      </c>
      <c r="M43" s="3">
        <v>1</v>
      </c>
      <c r="N43" s="16"/>
      <c r="O43" s="10"/>
      <c r="P43" s="10"/>
      <c r="Q43" s="13"/>
      <c r="R43" s="13"/>
      <c r="S43" s="13"/>
      <c r="T43" s="13"/>
      <c r="U43" s="13"/>
      <c r="V43" s="13"/>
      <c r="W43" s="13"/>
      <c r="X43" s="13"/>
      <c r="Y43" s="13"/>
      <c r="Z43" s="13"/>
      <c r="AA43" s="13"/>
      <c r="AB43" s="13"/>
      <c r="AC43" s="13"/>
      <c r="AD43" s="13"/>
      <c r="AE43" s="13"/>
      <c r="AF43" s="13"/>
      <c r="AG43" s="13"/>
      <c r="AH43" s="13"/>
      <c r="AI43" s="13"/>
      <c r="AJ43" s="13"/>
      <c r="AK43" s="13"/>
      <c r="AL43" s="13"/>
    </row>
    <row r="44" spans="1:38" x14ac:dyDescent="0.25">
      <c r="A44" s="3" t="s">
        <v>13</v>
      </c>
      <c r="B44" s="7" t="str">
        <f t="shared" si="1"/>
        <v>Drosophila_ananassae_NW_025319046.1</v>
      </c>
      <c r="C44" s="19" t="s">
        <v>82</v>
      </c>
      <c r="D44" s="3" t="s">
        <v>15</v>
      </c>
      <c r="E44" s="3" t="s">
        <v>83</v>
      </c>
      <c r="F44" s="20" t="s">
        <v>90</v>
      </c>
      <c r="G44" s="132" t="s">
        <v>90</v>
      </c>
      <c r="H44" s="17">
        <v>754</v>
      </c>
      <c r="I44" s="3" t="s">
        <v>87</v>
      </c>
      <c r="J44" s="21" t="s">
        <v>28</v>
      </c>
      <c r="K44" s="3" t="s">
        <v>29</v>
      </c>
      <c r="L44" s="3">
        <v>1</v>
      </c>
      <c r="M44" s="3">
        <v>1</v>
      </c>
      <c r="N44" s="16"/>
      <c r="O44" s="10"/>
      <c r="P44" s="10"/>
      <c r="Q44" s="13"/>
      <c r="R44" s="13"/>
      <c r="S44" s="13"/>
      <c r="T44" s="13"/>
      <c r="U44" s="13"/>
      <c r="V44" s="13"/>
      <c r="W44" s="13"/>
      <c r="X44" s="13"/>
      <c r="Y44" s="13"/>
      <c r="Z44" s="13"/>
      <c r="AA44" s="13"/>
      <c r="AB44" s="13"/>
      <c r="AC44" s="13"/>
      <c r="AD44" s="13"/>
      <c r="AE44" s="13"/>
      <c r="AF44" s="13"/>
      <c r="AG44" s="13"/>
      <c r="AH44" s="13"/>
      <c r="AI44" s="13"/>
      <c r="AJ44" s="13"/>
      <c r="AK44" s="13"/>
      <c r="AL44" s="13"/>
    </row>
    <row r="45" spans="1:38" x14ac:dyDescent="0.25">
      <c r="A45" s="3" t="s">
        <v>13</v>
      </c>
      <c r="B45" s="7" t="str">
        <f t="shared" si="1"/>
        <v>Ectocarpus_sp._12_AP-2014_CAN0549207.1</v>
      </c>
      <c r="C45" s="8" t="s">
        <v>91</v>
      </c>
      <c r="D45" s="3" t="s">
        <v>92</v>
      </c>
      <c r="E45" s="3"/>
      <c r="F45" s="7" t="s">
        <v>93</v>
      </c>
      <c r="G45" s="130" t="s">
        <v>93</v>
      </c>
      <c r="H45" s="22">
        <v>290</v>
      </c>
      <c r="I45" s="3" t="s">
        <v>27</v>
      </c>
      <c r="J45" s="3" t="s">
        <v>33</v>
      </c>
      <c r="K45" s="3" t="s">
        <v>19</v>
      </c>
      <c r="L45" s="3">
        <v>0</v>
      </c>
      <c r="M45" s="3">
        <v>0</v>
      </c>
      <c r="N45" s="16"/>
      <c r="O45" s="10"/>
      <c r="P45" s="10"/>
      <c r="Q45" s="13"/>
      <c r="R45" s="13"/>
      <c r="S45" s="13"/>
      <c r="T45" s="13"/>
      <c r="U45" s="13"/>
      <c r="V45" s="13"/>
      <c r="W45" s="13"/>
      <c r="X45" s="13"/>
      <c r="Y45" s="13"/>
      <c r="Z45" s="13"/>
      <c r="AA45" s="13"/>
      <c r="AB45" s="13"/>
      <c r="AC45" s="13"/>
      <c r="AD45" s="13"/>
      <c r="AE45" s="13"/>
      <c r="AF45" s="13"/>
      <c r="AG45" s="13"/>
      <c r="AH45" s="13"/>
      <c r="AI45" s="13"/>
      <c r="AJ45" s="13"/>
      <c r="AK45" s="13"/>
      <c r="AL45" s="13"/>
    </row>
    <row r="46" spans="1:38" x14ac:dyDescent="0.25">
      <c r="A46" s="3" t="s">
        <v>13</v>
      </c>
      <c r="B46" s="7" t="str">
        <f t="shared" si="1"/>
        <v>Gerris_buenoi_CAO4854541.1</v>
      </c>
      <c r="C46" s="8" t="s">
        <v>94</v>
      </c>
      <c r="D46" s="3" t="s">
        <v>15</v>
      </c>
      <c r="E46" s="3" t="s">
        <v>63</v>
      </c>
      <c r="F46" s="9" t="s">
        <v>95</v>
      </c>
      <c r="G46" s="128" t="s">
        <v>95</v>
      </c>
      <c r="H46" s="3">
        <v>2886</v>
      </c>
      <c r="I46" s="3" t="s">
        <v>27</v>
      </c>
      <c r="J46" s="3" t="s">
        <v>33</v>
      </c>
      <c r="K46" s="3" t="s">
        <v>19</v>
      </c>
      <c r="L46" s="3">
        <v>1</v>
      </c>
      <c r="M46" s="3">
        <v>1</v>
      </c>
      <c r="N46" s="16"/>
      <c r="O46" s="10"/>
      <c r="P46" s="10"/>
      <c r="Q46" s="13"/>
      <c r="R46" s="13"/>
      <c r="S46" s="13"/>
      <c r="T46" s="13"/>
      <c r="U46" s="13"/>
      <c r="V46" s="13"/>
      <c r="W46" s="13"/>
      <c r="X46" s="13"/>
      <c r="Y46" s="13"/>
      <c r="Z46" s="13"/>
      <c r="AA46" s="13"/>
      <c r="AB46" s="13"/>
      <c r="AC46" s="13"/>
      <c r="AD46" s="13"/>
      <c r="AE46" s="13"/>
      <c r="AF46" s="13"/>
      <c r="AG46" s="13"/>
      <c r="AH46" s="13"/>
      <c r="AI46" s="13"/>
      <c r="AJ46" s="13"/>
      <c r="AK46" s="13"/>
      <c r="AL46" s="13"/>
    </row>
    <row r="47" spans="1:38" x14ac:dyDescent="0.25">
      <c r="A47" s="3" t="s">
        <v>13</v>
      </c>
      <c r="B47" s="7" t="str">
        <f t="shared" si="1"/>
        <v>Gerris_buenoi_CAO4855892.1</v>
      </c>
      <c r="C47" s="8" t="s">
        <v>94</v>
      </c>
      <c r="D47" s="3" t="s">
        <v>15</v>
      </c>
      <c r="E47" s="3" t="s">
        <v>63</v>
      </c>
      <c r="F47" s="9" t="s">
        <v>96</v>
      </c>
      <c r="G47" s="128" t="s">
        <v>96</v>
      </c>
      <c r="H47" s="3">
        <v>2584</v>
      </c>
      <c r="I47" s="3" t="s">
        <v>27</v>
      </c>
      <c r="J47" s="3" t="s">
        <v>33</v>
      </c>
      <c r="K47" s="3" t="s">
        <v>29</v>
      </c>
      <c r="L47" s="3">
        <v>1</v>
      </c>
      <c r="M47" s="3">
        <v>1</v>
      </c>
      <c r="N47" s="16"/>
      <c r="O47" s="10"/>
      <c r="P47" s="10"/>
      <c r="Q47" s="13"/>
      <c r="R47" s="13"/>
      <c r="S47" s="13"/>
      <c r="T47" s="13"/>
      <c r="U47" s="13"/>
      <c r="V47" s="13"/>
      <c r="W47" s="13"/>
      <c r="X47" s="13"/>
      <c r="Y47" s="13"/>
      <c r="Z47" s="13"/>
      <c r="AA47" s="13"/>
      <c r="AB47" s="13"/>
      <c r="AC47" s="13"/>
      <c r="AD47" s="13"/>
      <c r="AE47" s="13"/>
      <c r="AF47" s="13"/>
      <c r="AG47" s="13"/>
      <c r="AH47" s="13"/>
      <c r="AI47" s="13"/>
      <c r="AJ47" s="13"/>
      <c r="AK47" s="13"/>
      <c r="AL47" s="13"/>
    </row>
    <row r="48" spans="1:38" x14ac:dyDescent="0.25">
      <c r="A48" s="3" t="s">
        <v>13</v>
      </c>
      <c r="B48" s="7" t="str">
        <f t="shared" si="1"/>
        <v>Homalodisca_vitripennis_KAG8290545.1</v>
      </c>
      <c r="C48" s="8" t="s">
        <v>97</v>
      </c>
      <c r="D48" s="3" t="s">
        <v>15</v>
      </c>
      <c r="E48" s="3" t="s">
        <v>63</v>
      </c>
      <c r="F48" s="9" t="s">
        <v>98</v>
      </c>
      <c r="G48" s="128" t="s">
        <v>98</v>
      </c>
      <c r="H48" s="3">
        <v>3222</v>
      </c>
      <c r="I48" s="3" t="s">
        <v>27</v>
      </c>
      <c r="J48" s="3" t="s">
        <v>33</v>
      </c>
      <c r="K48" s="3" t="s">
        <v>29</v>
      </c>
      <c r="L48" s="3">
        <v>1</v>
      </c>
      <c r="M48" s="3">
        <v>1</v>
      </c>
      <c r="N48" s="16"/>
      <c r="O48" s="10"/>
      <c r="P48" s="10"/>
      <c r="Q48" s="13"/>
      <c r="R48" s="13"/>
      <c r="S48" s="13"/>
      <c r="T48" s="13"/>
      <c r="U48" s="13"/>
      <c r="V48" s="13"/>
      <c r="W48" s="13"/>
      <c r="X48" s="13"/>
      <c r="Y48" s="13"/>
      <c r="Z48" s="13"/>
      <c r="AA48" s="13"/>
      <c r="AB48" s="13"/>
      <c r="AC48" s="13"/>
      <c r="AD48" s="13"/>
      <c r="AE48" s="13"/>
      <c r="AF48" s="13"/>
      <c r="AG48" s="13"/>
      <c r="AH48" s="13"/>
      <c r="AI48" s="13"/>
      <c r="AJ48" s="13"/>
      <c r="AK48" s="13"/>
      <c r="AL48" s="13"/>
    </row>
    <row r="49" spans="1:38" x14ac:dyDescent="0.25">
      <c r="A49" s="3" t="s">
        <v>13</v>
      </c>
      <c r="B49" s="7" t="str">
        <f t="shared" si="1"/>
        <v>Homalodisca_vitripennis_KAG8290569.1</v>
      </c>
      <c r="C49" s="8" t="s">
        <v>97</v>
      </c>
      <c r="D49" s="3" t="s">
        <v>15</v>
      </c>
      <c r="E49" s="3" t="s">
        <v>63</v>
      </c>
      <c r="F49" s="9" t="s">
        <v>99</v>
      </c>
      <c r="G49" s="128" t="s">
        <v>99</v>
      </c>
      <c r="H49" s="3">
        <v>2826</v>
      </c>
      <c r="I49" s="3" t="s">
        <v>27</v>
      </c>
      <c r="J49" s="3" t="s">
        <v>33</v>
      </c>
      <c r="K49" s="3" t="s">
        <v>19</v>
      </c>
      <c r="L49" s="3">
        <v>1</v>
      </c>
      <c r="M49" s="3">
        <v>1</v>
      </c>
      <c r="N49" s="16"/>
      <c r="O49" s="10"/>
      <c r="P49" s="10"/>
      <c r="Q49" s="13"/>
      <c r="R49" s="13"/>
      <c r="S49" s="13"/>
      <c r="T49" s="13"/>
      <c r="U49" s="13"/>
      <c r="V49" s="13"/>
      <c r="W49" s="13"/>
      <c r="X49" s="13"/>
      <c r="Y49" s="13"/>
      <c r="Z49" s="13"/>
      <c r="AA49" s="13"/>
      <c r="AB49" s="13"/>
      <c r="AC49" s="13"/>
      <c r="AD49" s="13"/>
      <c r="AE49" s="13"/>
      <c r="AF49" s="13"/>
      <c r="AG49" s="13"/>
      <c r="AH49" s="13"/>
      <c r="AI49" s="13"/>
      <c r="AJ49" s="13"/>
      <c r="AK49" s="13"/>
      <c r="AL49" s="13"/>
    </row>
    <row r="50" spans="1:38" x14ac:dyDescent="0.25">
      <c r="A50" s="3" t="s">
        <v>13</v>
      </c>
      <c r="B50" s="7" t="str">
        <f t="shared" si="1"/>
        <v>Laminarionema_elsbetiae_CAN0359622.1</v>
      </c>
      <c r="C50" s="8" t="s">
        <v>100</v>
      </c>
      <c r="D50" s="3" t="s">
        <v>92</v>
      </c>
      <c r="E50" s="3"/>
      <c r="F50" s="7" t="s">
        <v>101</v>
      </c>
      <c r="G50" s="130" t="s">
        <v>101</v>
      </c>
      <c r="H50" s="3">
        <v>263</v>
      </c>
      <c r="I50" s="3" t="s">
        <v>27</v>
      </c>
      <c r="J50" s="3" t="s">
        <v>33</v>
      </c>
      <c r="K50" s="3" t="s">
        <v>19</v>
      </c>
      <c r="L50" s="3">
        <v>0</v>
      </c>
      <c r="M50" s="3">
        <v>0</v>
      </c>
      <c r="N50" s="16"/>
      <c r="O50" s="10"/>
      <c r="P50" s="10"/>
      <c r="Q50" s="13"/>
      <c r="R50" s="13"/>
      <c r="S50" s="13"/>
      <c r="T50" s="13"/>
      <c r="U50" s="13"/>
      <c r="V50" s="13"/>
      <c r="W50" s="13"/>
      <c r="X50" s="13"/>
      <c r="Y50" s="13"/>
      <c r="Z50" s="13"/>
      <c r="AA50" s="13"/>
      <c r="AB50" s="13"/>
      <c r="AC50" s="13"/>
      <c r="AD50" s="13"/>
      <c r="AE50" s="13"/>
      <c r="AF50" s="13"/>
      <c r="AG50" s="13"/>
      <c r="AH50" s="13"/>
      <c r="AI50" s="13"/>
      <c r="AJ50" s="13"/>
      <c r="AK50" s="13"/>
      <c r="AL50" s="13"/>
    </row>
    <row r="51" spans="1:38" x14ac:dyDescent="0.25">
      <c r="A51" s="3" t="s">
        <v>13</v>
      </c>
      <c r="B51" s="7" t="str">
        <f t="shared" si="1"/>
        <v>Laodelphax_striatellus_RZF45784.1</v>
      </c>
      <c r="C51" s="8" t="s">
        <v>102</v>
      </c>
      <c r="D51" s="3" t="s">
        <v>15</v>
      </c>
      <c r="E51" s="3" t="s">
        <v>63</v>
      </c>
      <c r="F51" s="9" t="s">
        <v>103</v>
      </c>
      <c r="G51" s="128" t="s">
        <v>103</v>
      </c>
      <c r="H51" s="3">
        <v>2220</v>
      </c>
      <c r="I51" s="3" t="s">
        <v>27</v>
      </c>
      <c r="J51" s="3" t="s">
        <v>33</v>
      </c>
      <c r="K51" s="3" t="s">
        <v>19</v>
      </c>
      <c r="L51" s="3">
        <v>0</v>
      </c>
      <c r="M51" s="3">
        <v>0</v>
      </c>
      <c r="N51" s="16"/>
      <c r="O51" s="10"/>
      <c r="P51" s="10"/>
      <c r="Q51" s="13"/>
      <c r="R51" s="13"/>
      <c r="S51" s="13"/>
      <c r="T51" s="13"/>
      <c r="U51" s="13"/>
      <c r="V51" s="13"/>
      <c r="W51" s="13"/>
      <c r="X51" s="13"/>
      <c r="Y51" s="13"/>
      <c r="Z51" s="13"/>
      <c r="AA51" s="13"/>
      <c r="AB51" s="13"/>
      <c r="AC51" s="13"/>
      <c r="AD51" s="13"/>
      <c r="AE51" s="13"/>
      <c r="AF51" s="13"/>
      <c r="AG51" s="13"/>
      <c r="AH51" s="13"/>
      <c r="AI51" s="13"/>
      <c r="AJ51" s="13"/>
      <c r="AK51" s="13"/>
      <c r="AL51" s="13"/>
    </row>
    <row r="52" spans="1:38" x14ac:dyDescent="0.25">
      <c r="A52" s="3" t="s">
        <v>13</v>
      </c>
      <c r="B52" s="7" t="str">
        <f t="shared" si="1"/>
        <v>Lutzomyia_longipalpis_XP_055690609.1</v>
      </c>
      <c r="C52" s="8" t="s">
        <v>104</v>
      </c>
      <c r="D52" s="3" t="s">
        <v>15</v>
      </c>
      <c r="E52" s="3" t="s">
        <v>83</v>
      </c>
      <c r="F52" s="9" t="s">
        <v>105</v>
      </c>
      <c r="G52" s="128" t="s">
        <v>105</v>
      </c>
      <c r="H52" s="3">
        <v>4722</v>
      </c>
      <c r="I52" s="3" t="s">
        <v>27</v>
      </c>
      <c r="J52" s="3" t="s">
        <v>33</v>
      </c>
      <c r="K52" s="3" t="s">
        <v>19</v>
      </c>
      <c r="L52" s="3">
        <v>1</v>
      </c>
      <c r="M52" s="3">
        <v>1</v>
      </c>
      <c r="N52" s="6"/>
      <c r="O52" s="10"/>
      <c r="P52" s="10"/>
      <c r="Q52" s="13"/>
      <c r="R52" s="13"/>
      <c r="S52" s="13"/>
      <c r="T52" s="13"/>
      <c r="U52" s="13"/>
      <c r="V52" s="13"/>
      <c r="W52" s="13"/>
      <c r="X52" s="13"/>
      <c r="Y52" s="13"/>
      <c r="Z52" s="13"/>
      <c r="AA52" s="13"/>
      <c r="AB52" s="13"/>
      <c r="AC52" s="13"/>
      <c r="AD52" s="13"/>
      <c r="AE52" s="13"/>
      <c r="AF52" s="13"/>
      <c r="AG52" s="13"/>
      <c r="AH52" s="13"/>
      <c r="AI52" s="13"/>
      <c r="AJ52" s="13"/>
      <c r="AK52" s="13"/>
      <c r="AL52" s="13"/>
    </row>
    <row r="53" spans="1:38" x14ac:dyDescent="0.25">
      <c r="A53" s="3" t="s">
        <v>13</v>
      </c>
      <c r="B53" s="7" t="str">
        <f t="shared" si="1"/>
        <v>Lutzomyia_longipalpis_XP_055690610.1</v>
      </c>
      <c r="C53" s="8" t="s">
        <v>104</v>
      </c>
      <c r="D53" s="3" t="s">
        <v>15</v>
      </c>
      <c r="E53" s="3" t="s">
        <v>83</v>
      </c>
      <c r="F53" s="9" t="s">
        <v>106</v>
      </c>
      <c r="G53" s="128" t="s">
        <v>106</v>
      </c>
      <c r="H53" s="3">
        <v>3560</v>
      </c>
      <c r="I53" s="3" t="s">
        <v>27</v>
      </c>
      <c r="J53" s="3" t="s">
        <v>33</v>
      </c>
      <c r="K53" s="3" t="s">
        <v>19</v>
      </c>
      <c r="L53" s="3">
        <v>1</v>
      </c>
      <c r="M53" s="3">
        <v>1</v>
      </c>
      <c r="N53" s="6"/>
      <c r="O53" s="10"/>
      <c r="P53" s="10"/>
      <c r="Q53" s="13"/>
      <c r="R53" s="13"/>
      <c r="S53" s="13"/>
      <c r="T53" s="13"/>
      <c r="AA53" s="13"/>
      <c r="AB53" s="13"/>
      <c r="AC53" s="13"/>
      <c r="AD53" s="13"/>
      <c r="AE53" s="13"/>
      <c r="AF53" s="13"/>
      <c r="AG53" s="13"/>
      <c r="AH53" s="13"/>
      <c r="AI53" s="13"/>
      <c r="AJ53" s="13"/>
      <c r="AK53" s="13"/>
      <c r="AL53" s="13"/>
    </row>
    <row r="54" spans="1:38" x14ac:dyDescent="0.25">
      <c r="A54" s="3" t="s">
        <v>13</v>
      </c>
      <c r="B54" s="7" t="str">
        <f t="shared" si="1"/>
        <v>Maniola_hyperantus_XP_069355952.1</v>
      </c>
      <c r="C54" s="23" t="s">
        <v>107</v>
      </c>
      <c r="D54" s="3" t="s">
        <v>15</v>
      </c>
      <c r="E54" s="3" t="s">
        <v>25</v>
      </c>
      <c r="F54" s="9" t="s">
        <v>108</v>
      </c>
      <c r="G54" s="128" t="s">
        <v>109</v>
      </c>
      <c r="H54" s="3">
        <v>1918</v>
      </c>
      <c r="I54" s="3" t="s">
        <v>27</v>
      </c>
      <c r="J54" s="3" t="s">
        <v>28</v>
      </c>
      <c r="K54" s="3" t="s">
        <v>19</v>
      </c>
      <c r="L54" s="3">
        <v>0</v>
      </c>
      <c r="M54" s="3">
        <v>0</v>
      </c>
      <c r="N54" s="6"/>
      <c r="O54" s="10"/>
      <c r="P54" s="10"/>
      <c r="Q54" s="13"/>
      <c r="R54" s="13"/>
      <c r="S54" s="13"/>
      <c r="T54" s="13"/>
      <c r="AA54" s="13"/>
      <c r="AB54" s="13"/>
      <c r="AC54" s="13"/>
      <c r="AD54" s="13"/>
      <c r="AE54" s="13"/>
      <c r="AF54" s="13"/>
      <c r="AG54" s="13"/>
      <c r="AH54" s="13"/>
      <c r="AI54" s="13"/>
      <c r="AJ54" s="13"/>
      <c r="AK54" s="13"/>
      <c r="AL54" s="13"/>
    </row>
    <row r="55" spans="1:38" x14ac:dyDescent="0.25">
      <c r="A55" s="3" t="s">
        <v>13</v>
      </c>
      <c r="B55" s="7" t="str">
        <f t="shared" si="1"/>
        <v>Maniola_hyperantus_XP_069355953.1</v>
      </c>
      <c r="C55" s="23" t="s">
        <v>107</v>
      </c>
      <c r="D55" s="3" t="s">
        <v>15</v>
      </c>
      <c r="E55" s="3" t="s">
        <v>25</v>
      </c>
      <c r="F55" s="9" t="s">
        <v>110</v>
      </c>
      <c r="G55" s="128" t="s">
        <v>111</v>
      </c>
      <c r="H55" s="3">
        <v>1918</v>
      </c>
      <c r="I55" s="3" t="s">
        <v>27</v>
      </c>
      <c r="J55" s="3" t="s">
        <v>28</v>
      </c>
      <c r="K55" s="3" t="s">
        <v>19</v>
      </c>
      <c r="L55" s="3">
        <v>0</v>
      </c>
      <c r="M55" s="3">
        <v>0</v>
      </c>
      <c r="N55" s="6"/>
      <c r="O55" s="10"/>
      <c r="P55" s="10"/>
      <c r="Q55" s="13"/>
      <c r="R55" s="13"/>
      <c r="S55" s="13"/>
      <c r="T55" s="13"/>
      <c r="U55" s="13"/>
      <c r="V55" s="13"/>
      <c r="W55" s="13"/>
      <c r="X55" s="13"/>
      <c r="Y55" s="13"/>
      <c r="Z55" s="13"/>
      <c r="AA55" s="13"/>
      <c r="AB55" s="13"/>
      <c r="AC55" s="13"/>
      <c r="AD55" s="13"/>
      <c r="AE55" s="13"/>
      <c r="AF55" s="13"/>
      <c r="AG55" s="13"/>
      <c r="AH55" s="13"/>
      <c r="AI55" s="13"/>
      <c r="AJ55" s="13"/>
      <c r="AK55" s="13"/>
      <c r="AL55" s="13"/>
    </row>
    <row r="56" spans="1:38" x14ac:dyDescent="0.25">
      <c r="A56" s="3" t="s">
        <v>13</v>
      </c>
      <c r="B56" s="7" t="str">
        <f t="shared" si="1"/>
        <v>Messor_orientalis_OZ389556.1</v>
      </c>
      <c r="C56" s="8" t="s">
        <v>112</v>
      </c>
      <c r="D56" s="3" t="s">
        <v>15</v>
      </c>
      <c r="E56" s="3" t="s">
        <v>113</v>
      </c>
      <c r="F56" s="9" t="s">
        <v>114</v>
      </c>
      <c r="G56" s="128" t="s">
        <v>114</v>
      </c>
      <c r="H56" s="3">
        <v>1792</v>
      </c>
      <c r="I56" s="3" t="s">
        <v>27</v>
      </c>
      <c r="J56" s="3" t="s">
        <v>68</v>
      </c>
      <c r="K56" s="3" t="s">
        <v>29</v>
      </c>
      <c r="L56" s="3">
        <v>0</v>
      </c>
      <c r="M56" s="3">
        <v>0</v>
      </c>
      <c r="N56" s="6"/>
      <c r="O56" s="10"/>
      <c r="P56" s="10"/>
      <c r="Q56" s="13"/>
      <c r="R56" s="13"/>
      <c r="S56" s="13"/>
      <c r="T56" s="13"/>
      <c r="U56" s="13"/>
      <c r="V56" s="13"/>
      <c r="W56" s="13"/>
      <c r="X56" s="13"/>
      <c r="Y56" s="13"/>
      <c r="Z56" s="13"/>
      <c r="AA56" s="13"/>
      <c r="AB56" s="13"/>
      <c r="AC56" s="13"/>
      <c r="AD56" s="13"/>
      <c r="AE56" s="13"/>
      <c r="AF56" s="13"/>
      <c r="AG56" s="13"/>
      <c r="AH56" s="13"/>
      <c r="AI56" s="13"/>
      <c r="AJ56" s="13"/>
      <c r="AK56" s="13"/>
      <c r="AL56" s="13"/>
    </row>
    <row r="57" spans="1:38" x14ac:dyDescent="0.25">
      <c r="A57" s="3" t="s">
        <v>13</v>
      </c>
      <c r="B57" s="7" t="str">
        <f t="shared" si="1"/>
        <v>Monomorium_pharaonis_XP_036145819.1</v>
      </c>
      <c r="C57" s="8" t="s">
        <v>115</v>
      </c>
      <c r="D57" s="3" t="s">
        <v>15</v>
      </c>
      <c r="E57" s="3" t="s">
        <v>113</v>
      </c>
      <c r="F57" s="9" t="s">
        <v>116</v>
      </c>
      <c r="G57" s="128" t="s">
        <v>117</v>
      </c>
      <c r="H57" s="3">
        <v>1559</v>
      </c>
      <c r="I57" s="3" t="s">
        <v>27</v>
      </c>
      <c r="J57" s="3" t="s">
        <v>68</v>
      </c>
      <c r="K57" s="3" t="s">
        <v>19</v>
      </c>
      <c r="L57" s="3">
        <v>0</v>
      </c>
      <c r="M57" s="3">
        <v>0</v>
      </c>
      <c r="N57" s="6"/>
      <c r="O57" s="10"/>
      <c r="P57" s="10"/>
      <c r="Q57" s="13"/>
      <c r="R57" s="13"/>
      <c r="S57" s="13"/>
      <c r="T57" s="13"/>
      <c r="U57" s="13"/>
      <c r="V57" s="13"/>
      <c r="W57" s="13"/>
      <c r="X57" s="13"/>
      <c r="Y57" s="13"/>
      <c r="Z57" s="13"/>
      <c r="AA57" s="13"/>
      <c r="AB57" s="13"/>
      <c r="AC57" s="13"/>
      <c r="AD57" s="13"/>
      <c r="AE57" s="13"/>
      <c r="AF57" s="13"/>
      <c r="AG57" s="13"/>
      <c r="AH57" s="13"/>
      <c r="AI57" s="13"/>
      <c r="AJ57" s="13"/>
      <c r="AK57" s="13"/>
      <c r="AL57" s="13"/>
    </row>
    <row r="58" spans="1:38" x14ac:dyDescent="0.25">
      <c r="A58" s="3" t="s">
        <v>13</v>
      </c>
      <c r="B58" s="7" t="str">
        <f t="shared" si="1"/>
        <v>Mycetomoellerius_zeteki_KYQ60003.1</v>
      </c>
      <c r="C58" s="8" t="s">
        <v>118</v>
      </c>
      <c r="D58" s="3" t="s">
        <v>15</v>
      </c>
      <c r="E58" s="3" t="s">
        <v>113</v>
      </c>
      <c r="F58" s="7" t="s">
        <v>119</v>
      </c>
      <c r="G58" s="130" t="s">
        <v>119</v>
      </c>
      <c r="H58" s="17">
        <v>625</v>
      </c>
      <c r="I58" s="3" t="s">
        <v>27</v>
      </c>
      <c r="J58" s="3" t="s">
        <v>33</v>
      </c>
      <c r="K58" s="3" t="s">
        <v>19</v>
      </c>
      <c r="L58" s="3">
        <v>0</v>
      </c>
      <c r="M58" s="3">
        <v>0</v>
      </c>
      <c r="N58" s="6"/>
      <c r="O58" s="10"/>
      <c r="P58" s="10"/>
      <c r="Q58" s="13"/>
      <c r="R58" s="13"/>
      <c r="S58" s="13"/>
      <c r="T58" s="13"/>
      <c r="U58" s="13"/>
      <c r="V58" s="13"/>
      <c r="W58" s="13"/>
      <c r="X58" s="13"/>
      <c r="Y58" s="13"/>
      <c r="Z58" s="13"/>
      <c r="AA58" s="13"/>
      <c r="AB58" s="13"/>
      <c r="AC58" s="13"/>
      <c r="AD58" s="13"/>
      <c r="AE58" s="13"/>
      <c r="AF58" s="13"/>
      <c r="AG58" s="13"/>
      <c r="AH58" s="13"/>
      <c r="AI58" s="13"/>
      <c r="AJ58" s="13"/>
      <c r="AK58" s="13"/>
      <c r="AL58" s="13"/>
    </row>
    <row r="59" spans="1:38" x14ac:dyDescent="0.25">
      <c r="A59" s="3" t="s">
        <v>13</v>
      </c>
      <c r="B59" s="7" t="str">
        <f t="shared" si="1"/>
        <v>Neocallimastix_californiae_ORY09044.1</v>
      </c>
      <c r="C59" s="8" t="s">
        <v>120</v>
      </c>
      <c r="D59" s="3" t="s">
        <v>31</v>
      </c>
      <c r="E59" s="3"/>
      <c r="F59" s="7" t="s">
        <v>121</v>
      </c>
      <c r="G59" s="130" t="s">
        <v>121</v>
      </c>
      <c r="H59" s="3">
        <v>367</v>
      </c>
      <c r="I59" s="3" t="s">
        <v>27</v>
      </c>
      <c r="J59" s="3" t="s">
        <v>33</v>
      </c>
      <c r="K59" s="3" t="s">
        <v>19</v>
      </c>
      <c r="L59" s="3">
        <v>0</v>
      </c>
      <c r="M59" s="3">
        <v>0</v>
      </c>
      <c r="N59" s="6"/>
      <c r="O59" s="10"/>
      <c r="P59" s="10"/>
      <c r="Q59" s="13"/>
      <c r="R59" s="13"/>
      <c r="S59" s="13"/>
      <c r="T59" s="13"/>
      <c r="U59" s="13"/>
      <c r="V59" s="13"/>
      <c r="W59" s="13"/>
      <c r="X59" s="13"/>
      <c r="Y59" s="13"/>
      <c r="Z59" s="13"/>
      <c r="AA59" s="13"/>
      <c r="AB59" s="13"/>
      <c r="AC59" s="13"/>
      <c r="AD59" s="13"/>
      <c r="AE59" s="13"/>
      <c r="AF59" s="13"/>
      <c r="AG59" s="13"/>
      <c r="AH59" s="13"/>
      <c r="AI59" s="13"/>
      <c r="AJ59" s="13"/>
      <c r="AK59" s="13"/>
      <c r="AL59" s="13"/>
    </row>
    <row r="60" spans="1:38" x14ac:dyDescent="0.25">
      <c r="A60" s="3" t="s">
        <v>13</v>
      </c>
      <c r="B60" s="7" t="str">
        <f t="shared" si="1"/>
        <v>Neocallimastix_californiae_ORY84572.1</v>
      </c>
      <c r="C60" s="8" t="s">
        <v>120</v>
      </c>
      <c r="D60" s="3" t="s">
        <v>31</v>
      </c>
      <c r="E60" s="3"/>
      <c r="F60" s="7" t="s">
        <v>122</v>
      </c>
      <c r="G60" s="130" t="s">
        <v>122</v>
      </c>
      <c r="H60" s="3">
        <v>141</v>
      </c>
      <c r="I60" s="3" t="s">
        <v>27</v>
      </c>
      <c r="J60" s="3" t="s">
        <v>33</v>
      </c>
      <c r="K60" s="3" t="s">
        <v>19</v>
      </c>
      <c r="L60" s="3">
        <v>0</v>
      </c>
      <c r="M60" s="3">
        <v>0</v>
      </c>
      <c r="N60" s="6"/>
      <c r="O60" s="10"/>
      <c r="P60" s="10"/>
      <c r="Q60" s="13"/>
      <c r="R60" s="13"/>
      <c r="S60" s="13"/>
      <c r="T60" s="13"/>
      <c r="U60" s="13"/>
      <c r="V60" s="13"/>
      <c r="W60" s="13"/>
      <c r="X60" s="13"/>
      <c r="Y60" s="13"/>
      <c r="Z60" s="13"/>
      <c r="AA60" s="13"/>
      <c r="AB60" s="13"/>
      <c r="AC60" s="13"/>
      <c r="AD60" s="13"/>
      <c r="AE60" s="13"/>
      <c r="AF60" s="13"/>
      <c r="AG60" s="13"/>
      <c r="AH60" s="13"/>
      <c r="AI60" s="13"/>
      <c r="AJ60" s="13"/>
      <c r="AK60" s="13"/>
      <c r="AL60" s="13"/>
    </row>
    <row r="61" spans="1:38" x14ac:dyDescent="0.25">
      <c r="A61" s="3" t="s">
        <v>13</v>
      </c>
      <c r="B61" s="7" t="str">
        <f t="shared" si="1"/>
        <v>Neocallimastix_lanati_(nom._inval.)_KAG4082405.1</v>
      </c>
      <c r="C61" s="8" t="s">
        <v>123</v>
      </c>
      <c r="D61" s="3" t="s">
        <v>31</v>
      </c>
      <c r="E61" s="3"/>
      <c r="F61" s="7" t="s">
        <v>124</v>
      </c>
      <c r="G61" s="130" t="s">
        <v>124</v>
      </c>
      <c r="H61" s="3">
        <v>161</v>
      </c>
      <c r="I61" s="3" t="s">
        <v>27</v>
      </c>
      <c r="J61" s="3" t="s">
        <v>33</v>
      </c>
      <c r="K61" s="3" t="s">
        <v>19</v>
      </c>
      <c r="L61" s="3">
        <v>0</v>
      </c>
      <c r="M61" s="3">
        <v>0</v>
      </c>
      <c r="N61" s="6"/>
      <c r="O61" s="10"/>
      <c r="P61" s="10"/>
      <c r="Y61" s="13"/>
      <c r="Z61" s="13"/>
      <c r="AA61" s="13"/>
      <c r="AB61" s="13"/>
      <c r="AC61" s="13"/>
      <c r="AD61" s="13"/>
      <c r="AE61" s="13"/>
      <c r="AF61" s="13"/>
      <c r="AG61" s="13"/>
      <c r="AH61" s="13"/>
      <c r="AI61" s="13"/>
      <c r="AJ61" s="13"/>
      <c r="AK61" s="13"/>
      <c r="AL61" s="13"/>
    </row>
    <row r="62" spans="1:38" x14ac:dyDescent="0.25">
      <c r="A62" s="3" t="s">
        <v>13</v>
      </c>
      <c r="B62" s="7" t="str">
        <f t="shared" si="1"/>
        <v>Neocallimastix_lanati_(nom._inval.)_KAG4083499.1</v>
      </c>
      <c r="C62" s="8" t="s">
        <v>123</v>
      </c>
      <c r="D62" s="3" t="s">
        <v>31</v>
      </c>
      <c r="E62" s="3"/>
      <c r="F62" s="7" t="s">
        <v>125</v>
      </c>
      <c r="G62" s="130" t="s">
        <v>125</v>
      </c>
      <c r="H62" s="3">
        <v>160</v>
      </c>
      <c r="I62" s="3" t="s">
        <v>27</v>
      </c>
      <c r="J62" s="3" t="s">
        <v>33</v>
      </c>
      <c r="K62" s="3" t="s">
        <v>19</v>
      </c>
      <c r="L62" s="3">
        <v>0</v>
      </c>
      <c r="M62" s="3">
        <v>0</v>
      </c>
      <c r="N62" s="6"/>
      <c r="O62" s="10"/>
      <c r="P62" s="10"/>
      <c r="Q62" s="13"/>
      <c r="R62" s="13"/>
      <c r="S62" s="13"/>
      <c r="T62" s="13"/>
      <c r="U62" s="13"/>
      <c r="V62" s="13"/>
      <c r="W62" s="13"/>
      <c r="X62" s="13"/>
      <c r="Y62" s="13"/>
      <c r="Z62" s="13"/>
      <c r="AA62" s="13"/>
      <c r="AB62" s="13"/>
      <c r="AC62" s="13"/>
      <c r="AD62" s="13"/>
      <c r="AE62" s="13"/>
      <c r="AF62" s="13"/>
      <c r="AG62" s="13"/>
      <c r="AH62" s="13"/>
      <c r="AI62" s="13"/>
      <c r="AJ62" s="13"/>
      <c r="AK62" s="13"/>
      <c r="AL62" s="13"/>
    </row>
    <row r="63" spans="1:38" x14ac:dyDescent="0.25">
      <c r="A63" s="3" t="s">
        <v>13</v>
      </c>
      <c r="B63" s="7" t="str">
        <f t="shared" si="1"/>
        <v>Neocallimastix_sp._'constans'_KAL6602446.1</v>
      </c>
      <c r="C63" s="8" t="s">
        <v>126</v>
      </c>
      <c r="D63" s="3" t="s">
        <v>31</v>
      </c>
      <c r="E63" s="3"/>
      <c r="F63" s="7" t="s">
        <v>127</v>
      </c>
      <c r="G63" s="130" t="s">
        <v>127</v>
      </c>
      <c r="H63" s="17">
        <v>621</v>
      </c>
      <c r="I63" s="3" t="s">
        <v>27</v>
      </c>
      <c r="J63" s="3" t="s">
        <v>33</v>
      </c>
      <c r="K63" s="3" t="s">
        <v>19</v>
      </c>
      <c r="L63" s="3">
        <v>0</v>
      </c>
      <c r="M63" s="3">
        <v>0</v>
      </c>
      <c r="N63" s="6"/>
      <c r="O63" s="10"/>
      <c r="P63" s="10"/>
      <c r="Q63" s="13"/>
      <c r="R63" s="13"/>
      <c r="S63" s="13"/>
      <c r="T63" s="13"/>
      <c r="U63" s="13"/>
      <c r="V63" s="13"/>
      <c r="W63" s="13"/>
      <c r="X63" s="13"/>
      <c r="Y63" s="13"/>
      <c r="Z63" s="13"/>
      <c r="AA63" s="13"/>
      <c r="AB63" s="13"/>
      <c r="AC63" s="13"/>
      <c r="AD63" s="13"/>
      <c r="AE63" s="13"/>
      <c r="AF63" s="13"/>
      <c r="AG63" s="13"/>
      <c r="AH63" s="13"/>
      <c r="AI63" s="13"/>
      <c r="AJ63" s="13"/>
      <c r="AK63" s="13"/>
      <c r="AL63" s="13"/>
    </row>
    <row r="64" spans="1:38" x14ac:dyDescent="0.25">
      <c r="A64" s="3" t="s">
        <v>13</v>
      </c>
      <c r="B64" s="7" t="str">
        <f t="shared" si="1"/>
        <v>Neocallimastix_sp._'constans'_KAL6632934.1</v>
      </c>
      <c r="C64" s="8" t="s">
        <v>126</v>
      </c>
      <c r="D64" s="3" t="s">
        <v>31</v>
      </c>
      <c r="E64" s="3"/>
      <c r="F64" s="7" t="s">
        <v>128</v>
      </c>
      <c r="G64" s="130" t="s">
        <v>128</v>
      </c>
      <c r="H64" s="17">
        <v>160</v>
      </c>
      <c r="I64" s="3" t="s">
        <v>27</v>
      </c>
      <c r="J64" s="3" t="s">
        <v>33</v>
      </c>
      <c r="K64" s="3" t="s">
        <v>19</v>
      </c>
      <c r="L64" s="3">
        <v>0</v>
      </c>
      <c r="M64" s="3">
        <v>0</v>
      </c>
      <c r="N64" s="6"/>
      <c r="O64" s="10"/>
      <c r="P64" s="10"/>
      <c r="Q64" s="13"/>
      <c r="R64" s="13"/>
      <c r="S64" s="13"/>
      <c r="T64" s="13"/>
      <c r="U64" s="13"/>
      <c r="V64" s="13"/>
      <c r="W64" s="13"/>
      <c r="X64" s="13"/>
      <c r="Y64" s="13"/>
      <c r="Z64" s="13"/>
      <c r="AA64" s="13"/>
      <c r="AB64" s="13"/>
      <c r="AC64" s="13"/>
      <c r="AD64" s="13"/>
      <c r="AE64" s="13"/>
      <c r="AF64" s="13"/>
      <c r="AG64" s="13"/>
      <c r="AH64" s="13"/>
      <c r="AI64" s="13"/>
      <c r="AJ64" s="13"/>
      <c r="AK64" s="13"/>
      <c r="AL64" s="13"/>
    </row>
    <row r="65" spans="1:38" x14ac:dyDescent="0.25">
      <c r="A65" s="3" t="s">
        <v>13</v>
      </c>
      <c r="B65" s="7" t="str">
        <f t="shared" si="1"/>
        <v>Nephila_pilipes_GFS42333.1</v>
      </c>
      <c r="C65" s="8" t="s">
        <v>129</v>
      </c>
      <c r="D65" s="3" t="s">
        <v>15</v>
      </c>
      <c r="E65" s="3" t="s">
        <v>36</v>
      </c>
      <c r="F65" s="14" t="s">
        <v>130</v>
      </c>
      <c r="G65" s="131" t="s">
        <v>130</v>
      </c>
      <c r="H65" s="3">
        <v>233</v>
      </c>
      <c r="I65" s="3" t="s">
        <v>18</v>
      </c>
      <c r="J65" s="3" t="s">
        <v>18</v>
      </c>
      <c r="K65" s="3" t="s">
        <v>19</v>
      </c>
      <c r="L65" s="3">
        <v>0</v>
      </c>
      <c r="M65" s="3">
        <v>0</v>
      </c>
      <c r="N65" s="6"/>
      <c r="O65" s="10"/>
      <c r="P65" s="10"/>
      <c r="AD65" s="13"/>
      <c r="AE65" s="13"/>
      <c r="AF65" s="13"/>
      <c r="AG65" s="13"/>
      <c r="AH65" s="13"/>
      <c r="AI65" s="13"/>
      <c r="AJ65" s="13"/>
      <c r="AK65" s="13"/>
      <c r="AL65" s="13"/>
    </row>
    <row r="66" spans="1:38" x14ac:dyDescent="0.25">
      <c r="A66" s="3" t="s">
        <v>13</v>
      </c>
      <c r="B66" s="7" t="str">
        <f t="shared" ref="B66:B94" si="2">_xlfn.CONCAT(C66,"_",G66)</f>
        <v>Nephila_pilipes_GFS42335.1</v>
      </c>
      <c r="C66" s="8" t="s">
        <v>129</v>
      </c>
      <c r="D66" s="3" t="s">
        <v>15</v>
      </c>
      <c r="E66" s="3" t="s">
        <v>36</v>
      </c>
      <c r="F66" s="9" t="s">
        <v>131</v>
      </c>
      <c r="G66" s="128" t="s">
        <v>131</v>
      </c>
      <c r="H66" s="3">
        <v>1005</v>
      </c>
      <c r="I66" s="3" t="s">
        <v>18</v>
      </c>
      <c r="J66" s="3" t="s">
        <v>18</v>
      </c>
      <c r="K66" s="3" t="s">
        <v>19</v>
      </c>
      <c r="L66" s="3">
        <v>1</v>
      </c>
      <c r="M66" s="3">
        <v>1</v>
      </c>
      <c r="N66" s="6"/>
      <c r="O66" s="10"/>
      <c r="P66" s="10"/>
      <c r="AD66" s="13"/>
      <c r="AE66" s="13"/>
      <c r="AF66" s="13"/>
      <c r="AG66" s="13"/>
      <c r="AH66" s="13"/>
      <c r="AI66" s="13"/>
      <c r="AJ66" s="13"/>
      <c r="AK66" s="13"/>
      <c r="AL66" s="13"/>
    </row>
    <row r="67" spans="1:38" x14ac:dyDescent="0.25">
      <c r="A67" s="3" t="s">
        <v>13</v>
      </c>
      <c r="B67" s="7" t="str">
        <f t="shared" si="2"/>
        <v>Nephila_pilipes_GFS67295.1</v>
      </c>
      <c r="C67" s="8" t="s">
        <v>129</v>
      </c>
      <c r="D67" s="3" t="s">
        <v>15</v>
      </c>
      <c r="E67" s="3" t="s">
        <v>36</v>
      </c>
      <c r="F67" s="14" t="s">
        <v>132</v>
      </c>
      <c r="G67" s="131" t="s">
        <v>132</v>
      </c>
      <c r="H67" s="3">
        <v>960</v>
      </c>
      <c r="I67" s="3" t="s">
        <v>18</v>
      </c>
      <c r="J67" s="3" t="s">
        <v>18</v>
      </c>
      <c r="K67" s="3" t="s">
        <v>19</v>
      </c>
      <c r="L67" s="3">
        <v>0</v>
      </c>
      <c r="M67" s="3">
        <v>0</v>
      </c>
      <c r="N67" s="6"/>
      <c r="O67" s="10"/>
      <c r="P67" s="10"/>
      <c r="AD67" s="13"/>
      <c r="AE67" s="13"/>
      <c r="AF67" s="13"/>
      <c r="AG67" s="13"/>
      <c r="AH67" s="13"/>
      <c r="AI67" s="13"/>
      <c r="AJ67" s="13"/>
      <c r="AK67" s="13"/>
      <c r="AL67" s="13"/>
    </row>
    <row r="68" spans="1:38" x14ac:dyDescent="0.25">
      <c r="A68" s="3" t="s">
        <v>13</v>
      </c>
      <c r="B68" s="7" t="str">
        <f t="shared" si="2"/>
        <v>Oedothorax_gibbosus__KAG8173535.1</v>
      </c>
      <c r="C68" s="8" t="s">
        <v>133</v>
      </c>
      <c r="D68" s="3" t="s">
        <v>15</v>
      </c>
      <c r="E68" s="3" t="s">
        <v>36</v>
      </c>
      <c r="F68" s="9" t="s">
        <v>134</v>
      </c>
      <c r="G68" s="128" t="s">
        <v>134</v>
      </c>
      <c r="H68" s="3">
        <v>340</v>
      </c>
      <c r="I68" s="3" t="s">
        <v>18</v>
      </c>
      <c r="J68" s="3" t="s">
        <v>18</v>
      </c>
      <c r="K68" s="3" t="s">
        <v>19</v>
      </c>
      <c r="L68" s="3">
        <v>0</v>
      </c>
      <c r="M68" s="3">
        <v>0</v>
      </c>
      <c r="N68" s="6"/>
      <c r="O68" s="10"/>
      <c r="P68" s="10"/>
      <c r="Q68" s="10"/>
      <c r="R68" s="10"/>
      <c r="S68" s="10"/>
      <c r="T68" s="10"/>
      <c r="U68" s="10"/>
      <c r="V68" s="10"/>
      <c r="W68" s="10"/>
      <c r="X68" s="10"/>
      <c r="AD68" s="13"/>
      <c r="AE68" s="13"/>
      <c r="AF68" s="13"/>
      <c r="AG68" s="13"/>
      <c r="AH68" s="13"/>
      <c r="AI68" s="13"/>
      <c r="AJ68" s="13"/>
      <c r="AK68" s="13"/>
      <c r="AL68" s="13"/>
    </row>
    <row r="69" spans="1:38" x14ac:dyDescent="0.25">
      <c r="A69" s="3" t="s">
        <v>13</v>
      </c>
      <c r="B69" s="7" t="str">
        <f t="shared" si="2"/>
        <v>Ooceraea_biroi_RLU16361.1</v>
      </c>
      <c r="C69" s="8" t="s">
        <v>135</v>
      </c>
      <c r="D69" s="3" t="s">
        <v>15</v>
      </c>
      <c r="E69" s="3" t="s">
        <v>113</v>
      </c>
      <c r="F69" s="9" t="s">
        <v>136</v>
      </c>
      <c r="G69" s="128" t="s">
        <v>136</v>
      </c>
      <c r="H69" s="3">
        <v>958</v>
      </c>
      <c r="I69" s="3" t="s">
        <v>18</v>
      </c>
      <c r="J69" s="3" t="s">
        <v>18</v>
      </c>
      <c r="K69" s="3" t="s">
        <v>19</v>
      </c>
      <c r="L69" s="3">
        <v>0</v>
      </c>
      <c r="M69" s="3">
        <v>0</v>
      </c>
      <c r="N69" s="6"/>
      <c r="O69" s="10"/>
      <c r="P69" s="10"/>
      <c r="Q69" s="10"/>
      <c r="R69" s="10"/>
      <c r="S69" s="10"/>
      <c r="T69" s="10"/>
      <c r="U69" s="10"/>
      <c r="V69" s="10"/>
      <c r="W69" s="10"/>
      <c r="X69" s="10"/>
    </row>
    <row r="70" spans="1:38" x14ac:dyDescent="0.25">
      <c r="A70" s="3" t="s">
        <v>13</v>
      </c>
      <c r="B70" s="7" t="str">
        <f t="shared" si="2"/>
        <v>Pararge_aegeria_aegeria__CAH2210414.1</v>
      </c>
      <c r="C70" s="8" t="s">
        <v>137</v>
      </c>
      <c r="D70" s="3" t="s">
        <v>15</v>
      </c>
      <c r="E70" s="3" t="s">
        <v>25</v>
      </c>
      <c r="F70" s="9" t="s">
        <v>138</v>
      </c>
      <c r="G70" s="128" t="s">
        <v>138</v>
      </c>
      <c r="H70" s="3">
        <v>1174</v>
      </c>
      <c r="I70" s="3" t="s">
        <v>18</v>
      </c>
      <c r="J70" s="3" t="s">
        <v>18</v>
      </c>
      <c r="K70" s="3" t="s">
        <v>29</v>
      </c>
      <c r="L70" s="3">
        <v>1</v>
      </c>
      <c r="M70" s="3">
        <v>0</v>
      </c>
      <c r="N70" s="6"/>
      <c r="O70" s="10"/>
      <c r="P70" s="10"/>
      <c r="Q70" s="10"/>
      <c r="R70" s="10"/>
      <c r="S70" s="10"/>
      <c r="T70" s="10"/>
      <c r="U70" s="10"/>
      <c r="V70" s="10"/>
      <c r="W70" s="10"/>
      <c r="X70" s="10"/>
    </row>
    <row r="71" spans="1:38" x14ac:dyDescent="0.25">
      <c r="A71" s="3" t="s">
        <v>13</v>
      </c>
      <c r="B71" s="7" t="str">
        <f t="shared" si="2"/>
        <v>Parasteatoda_tepidariorum_XP_015922318.1</v>
      </c>
      <c r="C71" s="8" t="s">
        <v>139</v>
      </c>
      <c r="D71" s="3" t="s">
        <v>15</v>
      </c>
      <c r="E71" s="3" t="s">
        <v>36</v>
      </c>
      <c r="F71" s="9" t="s">
        <v>140</v>
      </c>
      <c r="G71" s="128" t="s">
        <v>140</v>
      </c>
      <c r="H71" s="3">
        <v>1721</v>
      </c>
      <c r="I71" s="3" t="s">
        <v>18</v>
      </c>
      <c r="J71" s="3" t="s">
        <v>18</v>
      </c>
      <c r="K71" s="3" t="s">
        <v>19</v>
      </c>
      <c r="L71" s="3">
        <v>0</v>
      </c>
      <c r="M71" s="3">
        <v>0</v>
      </c>
      <c r="N71" s="6"/>
      <c r="O71" s="10"/>
      <c r="P71" s="10"/>
      <c r="Q71" s="10"/>
      <c r="R71" s="10"/>
      <c r="S71" s="10"/>
      <c r="T71" s="10"/>
      <c r="U71" s="10"/>
      <c r="V71" s="10"/>
      <c r="W71" s="10"/>
      <c r="X71" s="10"/>
    </row>
    <row r="72" spans="1:38" x14ac:dyDescent="0.25">
      <c r="A72" s="3" t="s">
        <v>13</v>
      </c>
      <c r="B72" s="7" t="str">
        <f t="shared" si="2"/>
        <v>Phlebotomus_argentipes_XP_059612603.1</v>
      </c>
      <c r="C72" s="8" t="s">
        <v>141</v>
      </c>
      <c r="D72" s="3" t="s">
        <v>15</v>
      </c>
      <c r="E72" s="3" t="s">
        <v>83</v>
      </c>
      <c r="F72" s="9" t="s">
        <v>142</v>
      </c>
      <c r="G72" s="128" t="s">
        <v>142</v>
      </c>
      <c r="H72" s="3">
        <v>3900</v>
      </c>
      <c r="I72" s="3" t="s">
        <v>27</v>
      </c>
      <c r="J72" s="3" t="s">
        <v>33</v>
      </c>
      <c r="K72" s="3" t="s">
        <v>19</v>
      </c>
      <c r="L72" s="3">
        <v>1</v>
      </c>
      <c r="M72" s="3">
        <v>1</v>
      </c>
      <c r="N72" s="6"/>
      <c r="O72" s="10"/>
      <c r="P72" s="10"/>
      <c r="Q72" s="10"/>
      <c r="R72" s="10"/>
      <c r="S72" s="10"/>
      <c r="T72" s="10"/>
      <c r="U72" s="10"/>
      <c r="V72" s="10"/>
      <c r="W72" s="10"/>
      <c r="X72" s="10"/>
    </row>
    <row r="73" spans="1:38" x14ac:dyDescent="0.25">
      <c r="A73" s="3" t="s">
        <v>13</v>
      </c>
      <c r="B73" s="7" t="str">
        <f t="shared" si="2"/>
        <v>Piromyces_finnis_ORX42221.1</v>
      </c>
      <c r="C73" s="8" t="s">
        <v>143</v>
      </c>
      <c r="D73" s="3" t="s">
        <v>31</v>
      </c>
      <c r="E73" s="3"/>
      <c r="F73" s="9" t="s">
        <v>144</v>
      </c>
      <c r="G73" s="128" t="s">
        <v>144</v>
      </c>
      <c r="H73" s="3">
        <v>846</v>
      </c>
      <c r="I73" s="3" t="s">
        <v>27</v>
      </c>
      <c r="J73" s="3" t="s">
        <v>33</v>
      </c>
      <c r="K73" s="3" t="s">
        <v>19</v>
      </c>
      <c r="L73" s="3">
        <v>0</v>
      </c>
      <c r="M73" s="3">
        <v>0</v>
      </c>
      <c r="N73" s="6"/>
      <c r="O73" s="10"/>
      <c r="P73" s="10"/>
      <c r="Q73" s="10"/>
      <c r="R73" s="10"/>
      <c r="S73" s="10"/>
      <c r="T73" s="10"/>
      <c r="U73" s="10"/>
      <c r="V73" s="10"/>
      <c r="W73" s="10"/>
      <c r="X73" s="10"/>
    </row>
    <row r="74" spans="1:38" x14ac:dyDescent="0.25">
      <c r="A74" s="3" t="s">
        <v>13</v>
      </c>
      <c r="B74" s="7" t="str">
        <f t="shared" si="2"/>
        <v>Piromyces_finnis_ORX57955.1</v>
      </c>
      <c r="C74" s="8" t="s">
        <v>143</v>
      </c>
      <c r="D74" s="3" t="s">
        <v>31</v>
      </c>
      <c r="E74" s="3"/>
      <c r="F74" s="9" t="s">
        <v>145</v>
      </c>
      <c r="G74" s="128" t="s">
        <v>145</v>
      </c>
      <c r="H74" s="3">
        <v>844</v>
      </c>
      <c r="I74" s="3" t="s">
        <v>27</v>
      </c>
      <c r="J74" s="3" t="s">
        <v>33</v>
      </c>
      <c r="K74" s="3" t="s">
        <v>19</v>
      </c>
      <c r="L74" s="3">
        <v>0</v>
      </c>
      <c r="M74" s="3">
        <v>0</v>
      </c>
      <c r="N74" s="6"/>
      <c r="O74" s="10"/>
      <c r="P74" s="10"/>
      <c r="Q74" s="10"/>
      <c r="R74" s="10"/>
      <c r="S74" s="10"/>
      <c r="T74" s="10"/>
      <c r="U74" s="10"/>
      <c r="V74" s="10"/>
      <c r="W74" s="10"/>
      <c r="X74" s="10"/>
    </row>
    <row r="75" spans="1:38" x14ac:dyDescent="0.25">
      <c r="A75" s="3" t="s">
        <v>13</v>
      </c>
      <c r="B75" s="7" t="str">
        <f t="shared" si="2"/>
        <v>Piromyces_sp._E2_OUM62993.1</v>
      </c>
      <c r="C75" s="8" t="s">
        <v>146</v>
      </c>
      <c r="D75" s="3" t="s">
        <v>31</v>
      </c>
      <c r="E75" s="3"/>
      <c r="F75" s="7" t="s">
        <v>147</v>
      </c>
      <c r="G75" s="130" t="s">
        <v>147</v>
      </c>
      <c r="H75" s="3">
        <v>661</v>
      </c>
      <c r="I75" s="3" t="s">
        <v>27</v>
      </c>
      <c r="J75" s="3" t="s">
        <v>33</v>
      </c>
      <c r="K75" s="3" t="s">
        <v>19</v>
      </c>
      <c r="L75" s="3">
        <v>0</v>
      </c>
      <c r="M75" s="3">
        <v>0</v>
      </c>
      <c r="N75" s="6"/>
      <c r="O75" s="10"/>
      <c r="P75" s="10"/>
      <c r="Q75" s="10"/>
      <c r="R75" s="10"/>
      <c r="S75" s="10"/>
      <c r="T75" s="10"/>
      <c r="U75" s="10"/>
      <c r="V75" s="10"/>
      <c r="W75" s="10"/>
      <c r="X75" s="10"/>
    </row>
    <row r="76" spans="1:38" x14ac:dyDescent="0.25">
      <c r="A76" s="3" t="s">
        <v>13</v>
      </c>
      <c r="B76" s="7" t="str">
        <f t="shared" si="2"/>
        <v>Piromyces_sp._E2_OUM67614.1</v>
      </c>
      <c r="C76" s="8" t="s">
        <v>146</v>
      </c>
      <c r="D76" s="3" t="s">
        <v>31</v>
      </c>
      <c r="E76" s="3"/>
      <c r="F76" s="7" t="s">
        <v>148</v>
      </c>
      <c r="G76" s="130" t="s">
        <v>148</v>
      </c>
      <c r="H76" s="3">
        <v>740</v>
      </c>
      <c r="I76" s="3" t="s">
        <v>27</v>
      </c>
      <c r="J76" s="3" t="s">
        <v>33</v>
      </c>
      <c r="K76" s="3" t="s">
        <v>19</v>
      </c>
      <c r="L76" s="3">
        <v>0</v>
      </c>
      <c r="M76" s="3">
        <v>0</v>
      </c>
      <c r="N76" s="6"/>
      <c r="O76" s="10"/>
      <c r="P76" s="10"/>
      <c r="Q76" s="10"/>
      <c r="R76" s="10"/>
      <c r="S76" s="10"/>
      <c r="T76" s="10"/>
      <c r="U76" s="10"/>
      <c r="V76" s="10"/>
      <c r="W76" s="10"/>
      <c r="X76" s="10"/>
    </row>
    <row r="77" spans="1:38" x14ac:dyDescent="0.25">
      <c r="A77" s="3" t="s">
        <v>13</v>
      </c>
      <c r="B77" s="7" t="str">
        <f t="shared" si="2"/>
        <v>Rhizophagus_irregularis_PKY59383.1</v>
      </c>
      <c r="C77" s="8" t="s">
        <v>149</v>
      </c>
      <c r="D77" s="3" t="s">
        <v>31</v>
      </c>
      <c r="E77" s="3"/>
      <c r="F77" s="7" t="s">
        <v>150</v>
      </c>
      <c r="G77" s="130" t="s">
        <v>150</v>
      </c>
      <c r="H77" s="3">
        <v>484</v>
      </c>
      <c r="I77" s="3" t="s">
        <v>27</v>
      </c>
      <c r="J77" s="3" t="s">
        <v>33</v>
      </c>
      <c r="K77" s="3" t="s">
        <v>19</v>
      </c>
      <c r="L77" s="3">
        <v>0</v>
      </c>
      <c r="M77" s="3">
        <v>0</v>
      </c>
      <c r="N77" s="6"/>
      <c r="O77" s="10"/>
      <c r="P77" s="10"/>
      <c r="Q77" s="10"/>
      <c r="R77" s="10"/>
      <c r="S77" s="10"/>
      <c r="T77" s="10"/>
      <c r="U77" s="10"/>
      <c r="V77" s="10"/>
      <c r="W77" s="10"/>
      <c r="X77" s="10"/>
    </row>
    <row r="78" spans="1:38" x14ac:dyDescent="0.25">
      <c r="A78" s="3" t="s">
        <v>13</v>
      </c>
      <c r="B78" s="7" t="str">
        <f t="shared" si="2"/>
        <v>Sitophilus_oryzae_XP_030745916.1</v>
      </c>
      <c r="C78" s="8" t="s">
        <v>151</v>
      </c>
      <c r="D78" s="3" t="s">
        <v>15</v>
      </c>
      <c r="E78" s="3" t="s">
        <v>16</v>
      </c>
      <c r="F78" s="9" t="s">
        <v>152</v>
      </c>
      <c r="G78" s="128" t="s">
        <v>152</v>
      </c>
      <c r="H78" s="3">
        <v>1738</v>
      </c>
      <c r="I78" s="3" t="s">
        <v>18</v>
      </c>
      <c r="J78" s="3" t="s">
        <v>18</v>
      </c>
      <c r="K78" s="3" t="s">
        <v>19</v>
      </c>
      <c r="L78" s="3">
        <v>0</v>
      </c>
      <c r="M78" s="3">
        <v>0</v>
      </c>
      <c r="N78" s="6"/>
      <c r="O78" s="10"/>
      <c r="P78" s="10"/>
      <c r="Q78" s="10"/>
      <c r="R78" s="10"/>
      <c r="S78" s="10"/>
      <c r="T78" s="10"/>
      <c r="U78" s="10"/>
      <c r="V78" s="10"/>
      <c r="W78" s="10"/>
      <c r="X78" s="10"/>
    </row>
    <row r="79" spans="1:38" x14ac:dyDescent="0.25">
      <c r="A79" s="3" t="s">
        <v>13</v>
      </c>
      <c r="B79" s="7" t="str">
        <f t="shared" si="2"/>
        <v>Teleopsis_dalmanni_XP_037931622.1</v>
      </c>
      <c r="C79" s="8" t="s">
        <v>153</v>
      </c>
      <c r="D79" s="3" t="s">
        <v>15</v>
      </c>
      <c r="E79" s="3" t="s">
        <v>83</v>
      </c>
      <c r="F79" s="9" t="s">
        <v>154</v>
      </c>
      <c r="G79" s="128" t="s">
        <v>154</v>
      </c>
      <c r="H79" s="3">
        <v>1823</v>
      </c>
      <c r="I79" s="3" t="s">
        <v>18</v>
      </c>
      <c r="J79" s="3" t="s">
        <v>18</v>
      </c>
      <c r="K79" s="3" t="s">
        <v>19</v>
      </c>
      <c r="L79" s="3">
        <v>0</v>
      </c>
      <c r="M79" s="3">
        <v>0</v>
      </c>
      <c r="N79" s="6"/>
      <c r="O79" s="10"/>
      <c r="P79" s="10"/>
      <c r="Q79" s="10"/>
      <c r="R79" s="10"/>
      <c r="S79" s="10"/>
      <c r="T79" s="10"/>
      <c r="U79" s="10"/>
      <c r="V79" s="10"/>
      <c r="W79" s="10"/>
      <c r="X79" s="10"/>
    </row>
    <row r="80" spans="1:38" x14ac:dyDescent="0.25">
      <c r="A80" s="3" t="s">
        <v>13</v>
      </c>
      <c r="B80" s="7" t="str">
        <f t="shared" si="2"/>
        <v>Teleopsis_dalmanni_XP_037935032.1</v>
      </c>
      <c r="C80" s="8" t="s">
        <v>153</v>
      </c>
      <c r="D80" s="3" t="s">
        <v>15</v>
      </c>
      <c r="E80" s="3" t="s">
        <v>83</v>
      </c>
      <c r="F80" s="9" t="s">
        <v>155</v>
      </c>
      <c r="G80" s="128" t="s">
        <v>155</v>
      </c>
      <c r="H80" s="3">
        <v>1710</v>
      </c>
      <c r="I80" s="3" t="s">
        <v>18</v>
      </c>
      <c r="J80" s="3" t="s">
        <v>18</v>
      </c>
      <c r="K80" s="3" t="s">
        <v>19</v>
      </c>
      <c r="L80" s="3">
        <v>0</v>
      </c>
      <c r="M80" s="3">
        <v>0</v>
      </c>
      <c r="N80" s="6"/>
      <c r="O80" s="10"/>
      <c r="P80" s="10"/>
    </row>
    <row r="81" spans="1:16" x14ac:dyDescent="0.25">
      <c r="A81" s="3" t="s">
        <v>13</v>
      </c>
      <c r="B81" s="7" t="str">
        <f t="shared" si="2"/>
        <v>Temnothorax_curvispinosus_XP_024879170.2</v>
      </c>
      <c r="C81" s="8" t="s">
        <v>156</v>
      </c>
      <c r="D81" s="3" t="s">
        <v>15</v>
      </c>
      <c r="E81" s="3" t="s">
        <v>113</v>
      </c>
      <c r="F81" s="11" t="s">
        <v>157</v>
      </c>
      <c r="G81" s="129" t="s">
        <v>158</v>
      </c>
      <c r="H81" s="3">
        <v>1848</v>
      </c>
      <c r="I81" s="3" t="s">
        <v>18</v>
      </c>
      <c r="J81" s="3" t="s">
        <v>18</v>
      </c>
      <c r="K81" s="3" t="s">
        <v>19</v>
      </c>
      <c r="L81" s="3">
        <v>0</v>
      </c>
      <c r="M81" s="3">
        <v>0</v>
      </c>
      <c r="N81" s="6"/>
      <c r="O81" s="10"/>
      <c r="P81" s="10"/>
    </row>
    <row r="82" spans="1:16" x14ac:dyDescent="0.25">
      <c r="A82" s="3" t="s">
        <v>13</v>
      </c>
      <c r="B82" s="7" t="str">
        <f t="shared" si="2"/>
        <v>Timema_californicum_OE198796.1</v>
      </c>
      <c r="C82" s="8" t="s">
        <v>159</v>
      </c>
      <c r="D82" s="3" t="s">
        <v>15</v>
      </c>
      <c r="E82" s="3" t="s">
        <v>160</v>
      </c>
      <c r="F82" s="9" t="s">
        <v>161</v>
      </c>
      <c r="G82" s="128" t="s">
        <v>161</v>
      </c>
      <c r="H82" s="17">
        <v>755</v>
      </c>
      <c r="I82" s="3" t="s">
        <v>27</v>
      </c>
      <c r="J82" s="3" t="s">
        <v>68</v>
      </c>
      <c r="K82" s="3" t="s">
        <v>29</v>
      </c>
      <c r="L82" s="3">
        <v>1</v>
      </c>
      <c r="M82" s="3">
        <v>1</v>
      </c>
      <c r="N82" s="6"/>
      <c r="O82" s="10"/>
      <c r="P82" s="10"/>
    </row>
    <row r="83" spans="1:16" x14ac:dyDescent="0.25">
      <c r="A83" s="3" t="s">
        <v>13</v>
      </c>
      <c r="B83" s="7" t="str">
        <f t="shared" si="2"/>
        <v>Trichonephila_clavata_GFQ69431.1</v>
      </c>
      <c r="C83" s="8" t="s">
        <v>162</v>
      </c>
      <c r="D83" s="3" t="s">
        <v>15</v>
      </c>
      <c r="E83" s="3" t="s">
        <v>36</v>
      </c>
      <c r="F83" s="9" t="s">
        <v>163</v>
      </c>
      <c r="G83" s="128" t="s">
        <v>163</v>
      </c>
      <c r="H83" s="3">
        <v>514</v>
      </c>
      <c r="I83" s="3" t="s">
        <v>18</v>
      </c>
      <c r="J83" s="3" t="s">
        <v>18</v>
      </c>
      <c r="K83" s="3" t="s">
        <v>19</v>
      </c>
      <c r="L83" s="3">
        <v>0</v>
      </c>
      <c r="M83" s="3">
        <v>0</v>
      </c>
      <c r="N83" s="6"/>
      <c r="O83" s="10"/>
      <c r="P83" s="10"/>
    </row>
    <row r="84" spans="1:16" x14ac:dyDescent="0.25">
      <c r="A84" s="3" t="s">
        <v>13</v>
      </c>
      <c r="B84" s="7" t="str">
        <f t="shared" si="2"/>
        <v>Trichonephila_clavata_GFR08163.1</v>
      </c>
      <c r="C84" s="8" t="s">
        <v>162</v>
      </c>
      <c r="D84" s="3" t="s">
        <v>15</v>
      </c>
      <c r="E84" s="3" t="s">
        <v>36</v>
      </c>
      <c r="F84" s="14" t="s">
        <v>164</v>
      </c>
      <c r="G84" s="131" t="s">
        <v>164</v>
      </c>
      <c r="H84" s="3">
        <v>172</v>
      </c>
      <c r="I84" s="3" t="s">
        <v>18</v>
      </c>
      <c r="J84" s="3" t="s">
        <v>18</v>
      </c>
      <c r="K84" s="3" t="s">
        <v>19</v>
      </c>
      <c r="L84" s="3">
        <v>0</v>
      </c>
      <c r="M84" s="3">
        <v>0</v>
      </c>
      <c r="N84" s="6"/>
      <c r="O84" s="10"/>
      <c r="P84" s="10"/>
    </row>
    <row r="85" spans="1:16" x14ac:dyDescent="0.25">
      <c r="A85" s="3" t="s">
        <v>13</v>
      </c>
      <c r="B85" s="7" t="str">
        <f t="shared" si="2"/>
        <v>Trichonephila_clavata_GFR11649.1</v>
      </c>
      <c r="C85" s="8" t="s">
        <v>162</v>
      </c>
      <c r="D85" s="3" t="s">
        <v>15</v>
      </c>
      <c r="E85" s="3" t="s">
        <v>36</v>
      </c>
      <c r="F85" s="14" t="s">
        <v>165</v>
      </c>
      <c r="G85" s="131" t="s">
        <v>165</v>
      </c>
      <c r="H85" s="3">
        <v>233</v>
      </c>
      <c r="I85" s="3" t="s">
        <v>18</v>
      </c>
      <c r="J85" s="3" t="s">
        <v>18</v>
      </c>
      <c r="K85" s="3" t="s">
        <v>19</v>
      </c>
      <c r="L85" s="3">
        <v>0</v>
      </c>
      <c r="M85" s="3">
        <v>0</v>
      </c>
      <c r="N85" s="6"/>
      <c r="O85" s="10"/>
      <c r="P85" s="24"/>
    </row>
    <row r="86" spans="1:16" x14ac:dyDescent="0.25">
      <c r="A86" s="3" t="s">
        <v>13</v>
      </c>
      <c r="B86" s="7" t="str">
        <f t="shared" si="2"/>
        <v>Trichonephila_clavata_GFR11720.1</v>
      </c>
      <c r="C86" s="8" t="s">
        <v>162</v>
      </c>
      <c r="D86" s="3" t="s">
        <v>15</v>
      </c>
      <c r="E86" s="3" t="s">
        <v>36</v>
      </c>
      <c r="F86" s="14" t="s">
        <v>166</v>
      </c>
      <c r="G86" s="131" t="s">
        <v>166</v>
      </c>
      <c r="H86" s="3">
        <v>361</v>
      </c>
      <c r="I86" s="3" t="s">
        <v>18</v>
      </c>
      <c r="J86" s="3" t="s">
        <v>18</v>
      </c>
      <c r="K86" s="3" t="s">
        <v>19</v>
      </c>
      <c r="L86" s="3">
        <v>0</v>
      </c>
      <c r="M86" s="3">
        <v>0</v>
      </c>
      <c r="N86" s="6"/>
      <c r="O86" s="10"/>
      <c r="P86" s="24"/>
    </row>
    <row r="87" spans="1:16" x14ac:dyDescent="0.25">
      <c r="A87" s="3" t="s">
        <v>13</v>
      </c>
      <c r="B87" s="7" t="str">
        <f t="shared" si="2"/>
        <v>Trichonephila_clavata_GFR32305.1</v>
      </c>
      <c r="C87" s="8" t="s">
        <v>162</v>
      </c>
      <c r="D87" s="3" t="s">
        <v>15</v>
      </c>
      <c r="E87" s="3" t="s">
        <v>36</v>
      </c>
      <c r="F87" s="7" t="s">
        <v>167</v>
      </c>
      <c r="G87" s="130" t="s">
        <v>167</v>
      </c>
      <c r="H87" s="3">
        <v>216</v>
      </c>
      <c r="I87" s="3" t="s">
        <v>27</v>
      </c>
      <c r="J87" s="3" t="s">
        <v>33</v>
      </c>
      <c r="K87" s="3" t="s">
        <v>19</v>
      </c>
      <c r="L87" s="3">
        <v>1</v>
      </c>
      <c r="M87" s="3">
        <v>0</v>
      </c>
      <c r="N87" s="6"/>
      <c r="O87" s="10"/>
      <c r="P87" s="10"/>
    </row>
    <row r="88" spans="1:16" x14ac:dyDescent="0.25">
      <c r="A88" s="3" t="s">
        <v>13</v>
      </c>
      <c r="B88" s="7" t="str">
        <f t="shared" si="2"/>
        <v>Trichonephila_clavata_GFU91911.1</v>
      </c>
      <c r="C88" s="8" t="s">
        <v>162</v>
      </c>
      <c r="D88" s="3" t="s">
        <v>15</v>
      </c>
      <c r="E88" s="3" t="s">
        <v>36</v>
      </c>
      <c r="F88" s="14" t="s">
        <v>168</v>
      </c>
      <c r="G88" s="131" t="s">
        <v>168</v>
      </c>
      <c r="H88" s="3">
        <v>1878</v>
      </c>
      <c r="I88" s="3" t="s">
        <v>18</v>
      </c>
      <c r="J88" s="3" t="s">
        <v>18</v>
      </c>
      <c r="K88" s="3" t="s">
        <v>19</v>
      </c>
      <c r="L88" s="3">
        <v>0</v>
      </c>
      <c r="M88" s="3">
        <v>0</v>
      </c>
      <c r="N88" s="6"/>
      <c r="O88" s="10"/>
      <c r="P88" s="10"/>
    </row>
    <row r="89" spans="1:16" x14ac:dyDescent="0.25">
      <c r="A89" s="3" t="s">
        <v>13</v>
      </c>
      <c r="B89" s="7" t="str">
        <f t="shared" si="2"/>
        <v>Trichonephila_inaurata_madagascariensis__GFY80029.1</v>
      </c>
      <c r="C89" s="8" t="s">
        <v>169</v>
      </c>
      <c r="D89" s="3" t="s">
        <v>15</v>
      </c>
      <c r="E89" s="3" t="s">
        <v>36</v>
      </c>
      <c r="F89" s="9" t="s">
        <v>170</v>
      </c>
      <c r="G89" s="128" t="s">
        <v>170</v>
      </c>
      <c r="H89" s="3">
        <v>375</v>
      </c>
      <c r="I89" s="3" t="s">
        <v>18</v>
      </c>
      <c r="J89" s="3" t="s">
        <v>18</v>
      </c>
      <c r="K89" s="3" t="s">
        <v>19</v>
      </c>
      <c r="L89" s="3">
        <v>0</v>
      </c>
      <c r="M89" s="3">
        <v>0</v>
      </c>
      <c r="N89" s="6"/>
      <c r="O89" s="10"/>
      <c r="P89" s="10"/>
    </row>
    <row r="90" spans="1:16" x14ac:dyDescent="0.25">
      <c r="A90" s="3" t="s">
        <v>13</v>
      </c>
      <c r="B90" s="7" t="str">
        <f t="shared" si="2"/>
        <v>Trichonephila_inaurata_madagascariensis_GFY74152.1</v>
      </c>
      <c r="C90" s="8" t="s">
        <v>171</v>
      </c>
      <c r="D90" s="3" t="s">
        <v>15</v>
      </c>
      <c r="E90" s="3" t="s">
        <v>36</v>
      </c>
      <c r="F90" s="7" t="s">
        <v>172</v>
      </c>
      <c r="G90" s="130" t="s">
        <v>172</v>
      </c>
      <c r="H90" s="3">
        <v>208</v>
      </c>
      <c r="I90" s="3" t="s">
        <v>27</v>
      </c>
      <c r="J90" s="3" t="s">
        <v>33</v>
      </c>
      <c r="K90" s="3" t="s">
        <v>19</v>
      </c>
      <c r="L90" s="3">
        <v>0</v>
      </c>
      <c r="M90" s="3">
        <v>0</v>
      </c>
      <c r="N90" s="6"/>
      <c r="O90" s="10"/>
      <c r="P90" s="10"/>
    </row>
    <row r="91" spans="1:16" x14ac:dyDescent="0.25">
      <c r="A91" s="3" t="s">
        <v>13</v>
      </c>
      <c r="B91" s="7" t="str">
        <f t="shared" si="2"/>
        <v>Tritrichomonas_musculus_KAK8847280.1</v>
      </c>
      <c r="C91" s="8" t="s">
        <v>173</v>
      </c>
      <c r="D91" s="3" t="s">
        <v>174</v>
      </c>
      <c r="E91" s="3"/>
      <c r="F91" s="9" t="s">
        <v>175</v>
      </c>
      <c r="G91" s="128" t="s">
        <v>175</v>
      </c>
      <c r="H91" s="3">
        <v>1231</v>
      </c>
      <c r="I91" s="3" t="s">
        <v>27</v>
      </c>
      <c r="J91" s="3" t="s">
        <v>33</v>
      </c>
      <c r="K91" s="3" t="s">
        <v>19</v>
      </c>
      <c r="L91" s="3">
        <v>0</v>
      </c>
      <c r="M91" s="3">
        <v>0</v>
      </c>
      <c r="N91" s="6"/>
      <c r="O91" s="10"/>
      <c r="P91" s="10"/>
    </row>
    <row r="92" spans="1:16" x14ac:dyDescent="0.25">
      <c r="A92" s="3" t="s">
        <v>13</v>
      </c>
      <c r="B92" s="7" t="str">
        <f t="shared" si="2"/>
        <v>Tritrichomonas_musculus_KAK8894435.1</v>
      </c>
      <c r="C92" s="8" t="s">
        <v>173</v>
      </c>
      <c r="D92" s="3" t="s">
        <v>174</v>
      </c>
      <c r="E92" s="3"/>
      <c r="F92" s="9" t="s">
        <v>176</v>
      </c>
      <c r="G92" s="128" t="s">
        <v>176</v>
      </c>
      <c r="H92" s="17">
        <v>834</v>
      </c>
      <c r="I92" s="3" t="s">
        <v>27</v>
      </c>
      <c r="J92" s="3" t="s">
        <v>33</v>
      </c>
      <c r="K92" s="3" t="s">
        <v>19</v>
      </c>
      <c r="L92" s="3">
        <v>0</v>
      </c>
      <c r="M92" s="3">
        <v>0</v>
      </c>
      <c r="N92" s="6"/>
      <c r="O92" s="10"/>
      <c r="P92" s="10"/>
    </row>
    <row r="93" spans="1:16" x14ac:dyDescent="0.25">
      <c r="A93" s="3" t="s">
        <v>13</v>
      </c>
      <c r="B93" s="7" t="str">
        <f t="shared" si="2"/>
        <v>Wasmannia_auropunctata_XP_011686120.1</v>
      </c>
      <c r="C93" s="8" t="s">
        <v>177</v>
      </c>
      <c r="D93" s="3" t="s">
        <v>15</v>
      </c>
      <c r="E93" s="3" t="s">
        <v>113</v>
      </c>
      <c r="F93" s="11" t="s">
        <v>178</v>
      </c>
      <c r="G93" s="129" t="s">
        <v>178</v>
      </c>
      <c r="H93" s="3">
        <v>1533</v>
      </c>
      <c r="I93" s="3" t="s">
        <v>18</v>
      </c>
      <c r="J93" s="3" t="s">
        <v>18</v>
      </c>
      <c r="K93" s="3" t="s">
        <v>19</v>
      </c>
      <c r="L93" s="3">
        <v>0</v>
      </c>
      <c r="M93" s="3">
        <v>0</v>
      </c>
      <c r="N93" s="6"/>
      <c r="O93" s="10"/>
      <c r="P93" s="10"/>
    </row>
    <row r="94" spans="1:16" x14ac:dyDescent="0.25">
      <c r="A94" s="3" t="s">
        <v>13</v>
      </c>
      <c r="B94" s="7" t="str">
        <f t="shared" si="2"/>
        <v>Wasmannia_auropunctata_XP_011686121.1</v>
      </c>
      <c r="C94" s="8" t="s">
        <v>177</v>
      </c>
      <c r="D94" s="3" t="s">
        <v>15</v>
      </c>
      <c r="E94" s="3" t="s">
        <v>113</v>
      </c>
      <c r="F94" s="11" t="s">
        <v>179</v>
      </c>
      <c r="G94" s="129" t="s">
        <v>179</v>
      </c>
      <c r="H94" s="3">
        <v>1437</v>
      </c>
      <c r="I94" s="3" t="s">
        <v>18</v>
      </c>
      <c r="J94" s="3" t="s">
        <v>18</v>
      </c>
      <c r="K94" s="3" t="s">
        <v>19</v>
      </c>
      <c r="L94" s="3">
        <v>0</v>
      </c>
      <c r="M94" s="3">
        <v>0</v>
      </c>
      <c r="N94" s="6"/>
      <c r="O94" s="10"/>
      <c r="P94" s="10"/>
    </row>
    <row r="95" spans="1:16" x14ac:dyDescent="0.25">
      <c r="A95" s="16" t="s">
        <v>13</v>
      </c>
      <c r="B95" t="s">
        <v>623</v>
      </c>
      <c r="C95" s="2" t="s">
        <v>622</v>
      </c>
      <c r="D95" s="1" t="s">
        <v>15</v>
      </c>
      <c r="E95" s="1" t="s">
        <v>25</v>
      </c>
      <c r="F95" s="2" t="s">
        <v>624</v>
      </c>
      <c r="G95" s="2" t="s">
        <v>624</v>
      </c>
      <c r="H95" s="3">
        <v>69</v>
      </c>
      <c r="I95" s="16" t="s">
        <v>27</v>
      </c>
      <c r="J95" s="6" t="s">
        <v>68</v>
      </c>
      <c r="K95" s="1" t="s">
        <v>29</v>
      </c>
      <c r="L95" s="1">
        <v>0</v>
      </c>
      <c r="M95" s="1">
        <v>0</v>
      </c>
    </row>
  </sheetData>
  <hyperlinks>
    <hyperlink ref="F3" r:id="rId1" xr:uid="{00000000-0004-0000-0000-000000000000}"/>
    <hyperlink ref="G3" r:id="rId2" xr:uid="{00000000-0004-0000-0000-000001000000}"/>
    <hyperlink ref="F4" r:id="rId3" xr:uid="{00000000-0004-0000-0000-000002000000}"/>
    <hyperlink ref="F5" r:id="rId4" xr:uid="{00000000-0004-0000-0000-000003000000}"/>
    <hyperlink ref="F6" r:id="rId5" xr:uid="{00000000-0004-0000-0000-000004000000}"/>
    <hyperlink ref="F81" r:id="rId6" xr:uid="{00000000-0004-0000-0000-000005000000}"/>
    <hyperlink ref="G81" r:id="rId7" xr:uid="{00000000-0004-0000-0000-000006000000}"/>
    <hyperlink ref="F93" r:id="rId8" xr:uid="{00000000-0004-0000-0000-000007000000}"/>
    <hyperlink ref="G93" r:id="rId9" xr:uid="{00000000-0004-0000-0000-000008000000}"/>
    <hyperlink ref="F94" r:id="rId10" xr:uid="{00000000-0004-0000-0000-000009000000}"/>
    <hyperlink ref="G94" r:id="rId11" xr:uid="{00000000-0004-0000-0000-00000A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6"/>
  <sheetViews>
    <sheetView zoomScale="70" zoomScaleNormal="70" workbookViewId="0">
      <selection activeCell="F14" sqref="F14"/>
    </sheetView>
  </sheetViews>
  <sheetFormatPr baseColWidth="10" defaultColWidth="11.42578125" defaultRowHeight="14.25" x14ac:dyDescent="0.2"/>
  <cols>
    <col min="1" max="1" width="4.42578125" style="80" customWidth="1"/>
    <col min="2" max="2" width="45" style="80" customWidth="1"/>
    <col min="3" max="3" width="27.140625" style="80" customWidth="1"/>
    <col min="4" max="4" width="12" style="83" customWidth="1"/>
    <col min="5" max="5" width="21.42578125" style="83" customWidth="1"/>
    <col min="6" max="6" width="21.7109375" style="80" bestFit="1" customWidth="1"/>
    <col min="7" max="7" width="8.85546875" style="80" customWidth="1"/>
    <col min="8" max="8" width="14.7109375" style="83" customWidth="1"/>
    <col min="9" max="9" width="8" style="83" customWidth="1"/>
    <col min="10" max="10" width="11.42578125" style="83" customWidth="1"/>
    <col min="11" max="11" width="12" style="80" customWidth="1"/>
    <col min="12" max="12" width="4.7109375" style="83" customWidth="1"/>
    <col min="13" max="13" width="21" style="80" customWidth="1"/>
    <col min="14" max="14" width="18.7109375" style="80" customWidth="1"/>
    <col min="15" max="15" width="10.7109375" style="80" customWidth="1"/>
    <col min="16" max="16" width="22.5703125" style="80" customWidth="1"/>
    <col min="17" max="17" width="11.140625" style="80" customWidth="1"/>
    <col min="18" max="18" width="11.140625" style="85" customWidth="1"/>
    <col min="19" max="19" width="21.5703125" style="80" customWidth="1"/>
    <col min="20" max="20" width="15.85546875" style="85" customWidth="1"/>
    <col min="21" max="21" width="16" style="85" customWidth="1"/>
    <col min="22" max="22" width="35.42578125" style="85" customWidth="1"/>
    <col min="23" max="23" width="20.140625" style="81" customWidth="1"/>
    <col min="24" max="24" width="13.85546875" style="83" customWidth="1"/>
    <col min="25" max="25" width="18" style="80" customWidth="1"/>
    <col min="26" max="26" width="13.5703125" style="83" hidden="1" customWidth="1"/>
    <col min="27" max="27" width="0" style="80" hidden="1" customWidth="1"/>
    <col min="28" max="28" width="13.85546875" style="80" hidden="1" customWidth="1"/>
    <col min="29" max="29" width="17.5703125" style="80" hidden="1" customWidth="1"/>
    <col min="30" max="16384" width="11.42578125" style="80"/>
  </cols>
  <sheetData>
    <row r="1" spans="1:29" s="83" customFormat="1" x14ac:dyDescent="0.2">
      <c r="A1" s="74" t="s">
        <v>0</v>
      </c>
      <c r="B1" s="74" t="s">
        <v>1</v>
      </c>
      <c r="C1" s="74" t="s">
        <v>2</v>
      </c>
      <c r="D1" s="74" t="s">
        <v>3</v>
      </c>
      <c r="E1" s="74" t="s">
        <v>4</v>
      </c>
      <c r="F1" s="74" t="s">
        <v>6</v>
      </c>
      <c r="G1" s="74" t="s">
        <v>7</v>
      </c>
      <c r="H1" s="74" t="s">
        <v>8</v>
      </c>
      <c r="I1" s="74" t="s">
        <v>10</v>
      </c>
      <c r="J1" s="74" t="s">
        <v>11</v>
      </c>
      <c r="K1" s="74" t="s">
        <v>12</v>
      </c>
      <c r="L1" s="74" t="s">
        <v>182</v>
      </c>
      <c r="M1" s="74" t="s">
        <v>183</v>
      </c>
      <c r="N1" s="74" t="s">
        <v>180</v>
      </c>
      <c r="O1" s="74" t="s">
        <v>181</v>
      </c>
      <c r="P1" s="74" t="s">
        <v>184</v>
      </c>
      <c r="Q1" s="74" t="s">
        <v>185</v>
      </c>
      <c r="R1" s="74" t="s">
        <v>186</v>
      </c>
      <c r="S1" s="74" t="s">
        <v>187</v>
      </c>
      <c r="T1" s="74" t="s">
        <v>188</v>
      </c>
      <c r="U1" s="74" t="s">
        <v>189</v>
      </c>
      <c r="V1" s="74" t="s">
        <v>190</v>
      </c>
      <c r="W1" s="74" t="s">
        <v>191</v>
      </c>
      <c r="X1" s="74" t="s">
        <v>192</v>
      </c>
      <c r="Y1" s="74" t="s">
        <v>193</v>
      </c>
      <c r="Z1" s="136" t="s">
        <v>194</v>
      </c>
      <c r="AA1" s="137" t="s">
        <v>339</v>
      </c>
      <c r="AB1" s="137" t="s">
        <v>338</v>
      </c>
      <c r="AC1" s="137" t="s">
        <v>344</v>
      </c>
    </row>
    <row r="2" spans="1:29" x14ac:dyDescent="0.2">
      <c r="A2" s="83" t="s">
        <v>13</v>
      </c>
      <c r="B2" s="81" t="str">
        <f>_xlfn.CONCAT(C2,"_",O2)</f>
        <v>Drosophila_ananassae_cHI</v>
      </c>
      <c r="C2" s="96" t="s">
        <v>82</v>
      </c>
      <c r="D2" s="83" t="s">
        <v>15</v>
      </c>
      <c r="E2" s="83" t="s">
        <v>83</v>
      </c>
      <c r="F2" s="138" t="s">
        <v>86</v>
      </c>
      <c r="G2" s="139">
        <v>902</v>
      </c>
      <c r="H2" s="83" t="s">
        <v>87</v>
      </c>
      <c r="I2" s="83" t="s">
        <v>29</v>
      </c>
      <c r="J2" s="83">
        <v>1</v>
      </c>
      <c r="K2" s="83">
        <v>1</v>
      </c>
      <c r="L2" s="140" t="s">
        <v>197</v>
      </c>
      <c r="M2" s="83" t="s">
        <v>198</v>
      </c>
      <c r="N2" s="79" t="s">
        <v>195</v>
      </c>
      <c r="O2" s="85" t="s">
        <v>196</v>
      </c>
      <c r="P2" s="138" t="s">
        <v>86</v>
      </c>
      <c r="Q2" s="83">
        <v>487595</v>
      </c>
      <c r="R2" s="83">
        <v>490300</v>
      </c>
      <c r="S2" s="83" t="str">
        <f t="shared" ref="S2:S7" si="0">_xlfn.CONCAT(Q2,"..",R2)</f>
        <v>487595..490300</v>
      </c>
      <c r="T2" s="79" t="s">
        <v>199</v>
      </c>
      <c r="U2" s="80" t="s">
        <v>200</v>
      </c>
      <c r="V2" s="92" t="s">
        <v>201</v>
      </c>
      <c r="W2" s="80" t="s">
        <v>202</v>
      </c>
      <c r="X2" s="83" t="s">
        <v>203</v>
      </c>
      <c r="Y2" s="82" t="s">
        <v>340</v>
      </c>
      <c r="Z2" s="83">
        <v>1</v>
      </c>
      <c r="AA2" s="83">
        <v>0</v>
      </c>
      <c r="AB2" s="83">
        <v>0</v>
      </c>
      <c r="AC2" s="83">
        <v>0</v>
      </c>
    </row>
    <row r="3" spans="1:29" x14ac:dyDescent="0.2">
      <c r="A3" s="83" t="s">
        <v>13</v>
      </c>
      <c r="B3" s="81" t="str">
        <f t="shared" ref="B3:B28" si="1">_xlfn.CONCAT(C3,"_",O3)</f>
        <v>Drosophila_ananassae_cHI</v>
      </c>
      <c r="C3" s="96" t="s">
        <v>82</v>
      </c>
      <c r="D3" s="83" t="s">
        <v>15</v>
      </c>
      <c r="E3" s="83" t="s">
        <v>83</v>
      </c>
      <c r="F3" s="138" t="s">
        <v>88</v>
      </c>
      <c r="G3" s="139">
        <v>902</v>
      </c>
      <c r="H3" s="83" t="s">
        <v>87</v>
      </c>
      <c r="I3" s="83" t="s">
        <v>29</v>
      </c>
      <c r="J3" s="83">
        <v>1</v>
      </c>
      <c r="K3" s="83">
        <v>1</v>
      </c>
      <c r="L3" s="140" t="s">
        <v>197</v>
      </c>
      <c r="M3" s="83" t="s">
        <v>198</v>
      </c>
      <c r="N3" s="79" t="s">
        <v>195</v>
      </c>
      <c r="O3" s="85" t="s">
        <v>196</v>
      </c>
      <c r="P3" s="138" t="s">
        <v>88</v>
      </c>
      <c r="Q3" s="83">
        <v>368026</v>
      </c>
      <c r="R3" s="83">
        <v>370731</v>
      </c>
      <c r="S3" s="83" t="str">
        <f t="shared" si="0"/>
        <v>368026..370731</v>
      </c>
      <c r="T3" s="79" t="s">
        <v>199</v>
      </c>
      <c r="U3" s="80" t="s">
        <v>200</v>
      </c>
      <c r="V3" s="92" t="s">
        <v>201</v>
      </c>
      <c r="W3" s="80" t="s">
        <v>202</v>
      </c>
      <c r="X3" s="83" t="s">
        <v>203</v>
      </c>
      <c r="Y3" s="82" t="s">
        <v>340</v>
      </c>
      <c r="Z3" s="83">
        <v>1</v>
      </c>
      <c r="AA3" s="83">
        <v>0</v>
      </c>
      <c r="AB3" s="83">
        <v>0</v>
      </c>
      <c r="AC3" s="83">
        <v>0</v>
      </c>
    </row>
    <row r="4" spans="1:29" x14ac:dyDescent="0.2">
      <c r="A4" s="83" t="s">
        <v>13</v>
      </c>
      <c r="B4" s="81" t="str">
        <f t="shared" si="1"/>
        <v>Drosophila_ananassae_cHI</v>
      </c>
      <c r="C4" s="96" t="s">
        <v>82</v>
      </c>
      <c r="D4" s="83" t="s">
        <v>15</v>
      </c>
      <c r="E4" s="83" t="s">
        <v>83</v>
      </c>
      <c r="F4" s="138" t="s">
        <v>89</v>
      </c>
      <c r="G4" s="139">
        <v>754</v>
      </c>
      <c r="H4" s="83" t="s">
        <v>87</v>
      </c>
      <c r="I4" s="83" t="s">
        <v>29</v>
      </c>
      <c r="J4" s="83">
        <v>1</v>
      </c>
      <c r="K4" s="83">
        <v>1</v>
      </c>
      <c r="L4" s="141" t="s">
        <v>204</v>
      </c>
      <c r="M4" s="83" t="s">
        <v>198</v>
      </c>
      <c r="N4" s="79" t="s">
        <v>195</v>
      </c>
      <c r="O4" s="85" t="s">
        <v>196</v>
      </c>
      <c r="P4" s="138" t="s">
        <v>89</v>
      </c>
      <c r="Q4" s="83">
        <v>1065918</v>
      </c>
      <c r="R4" s="83">
        <v>1068179</v>
      </c>
      <c r="S4" s="83" t="str">
        <f t="shared" si="0"/>
        <v>1065918..1068179</v>
      </c>
      <c r="T4" s="79" t="s">
        <v>199</v>
      </c>
      <c r="U4" s="80" t="s">
        <v>200</v>
      </c>
      <c r="V4" s="92" t="s">
        <v>201</v>
      </c>
      <c r="W4" s="80" t="s">
        <v>202</v>
      </c>
      <c r="X4" s="83" t="s">
        <v>203</v>
      </c>
      <c r="Y4" s="82" t="s">
        <v>340</v>
      </c>
      <c r="Z4" s="83">
        <v>1</v>
      </c>
      <c r="AA4" s="83">
        <v>1</v>
      </c>
      <c r="AB4" s="83">
        <v>0</v>
      </c>
      <c r="AC4" s="83">
        <v>0</v>
      </c>
    </row>
    <row r="5" spans="1:29" x14ac:dyDescent="0.2">
      <c r="A5" s="83" t="s">
        <v>13</v>
      </c>
      <c r="B5" s="81" t="str">
        <f t="shared" si="1"/>
        <v>Drosophila_ananassae_cHI</v>
      </c>
      <c r="C5" s="96" t="s">
        <v>82</v>
      </c>
      <c r="D5" s="83" t="s">
        <v>15</v>
      </c>
      <c r="E5" s="83" t="s">
        <v>83</v>
      </c>
      <c r="F5" s="138" t="s">
        <v>90</v>
      </c>
      <c r="G5" s="139">
        <v>754</v>
      </c>
      <c r="H5" s="83" t="s">
        <v>87</v>
      </c>
      <c r="I5" s="83" t="s">
        <v>29</v>
      </c>
      <c r="J5" s="83">
        <v>1</v>
      </c>
      <c r="K5" s="83">
        <v>1</v>
      </c>
      <c r="L5" s="141" t="s">
        <v>204</v>
      </c>
      <c r="M5" s="83" t="s">
        <v>198</v>
      </c>
      <c r="N5" s="79" t="s">
        <v>195</v>
      </c>
      <c r="O5" s="85" t="s">
        <v>196</v>
      </c>
      <c r="P5" s="138" t="s">
        <v>90</v>
      </c>
      <c r="Q5" s="83">
        <v>514323</v>
      </c>
      <c r="R5" s="83">
        <v>516584</v>
      </c>
      <c r="S5" s="83" t="str">
        <f t="shared" si="0"/>
        <v>514323..516584</v>
      </c>
      <c r="T5" s="79" t="s">
        <v>199</v>
      </c>
      <c r="U5" s="80" t="s">
        <v>200</v>
      </c>
      <c r="V5" s="92" t="s">
        <v>201</v>
      </c>
      <c r="W5" s="80" t="s">
        <v>202</v>
      </c>
      <c r="X5" s="83" t="s">
        <v>203</v>
      </c>
      <c r="Y5" s="82" t="s">
        <v>340</v>
      </c>
      <c r="Z5" s="83">
        <v>1</v>
      </c>
      <c r="AA5" s="83">
        <v>1</v>
      </c>
      <c r="AB5" s="83">
        <v>0</v>
      </c>
      <c r="AC5" s="83">
        <v>0</v>
      </c>
    </row>
    <row r="6" spans="1:29" x14ac:dyDescent="0.2">
      <c r="A6" s="83" t="s">
        <v>13</v>
      </c>
      <c r="B6" s="81" t="str">
        <f t="shared" si="1"/>
        <v>Amblyptilia_punctidactyla_ilAmb</v>
      </c>
      <c r="C6" s="81" t="s">
        <v>24</v>
      </c>
      <c r="D6" s="83" t="s">
        <v>15</v>
      </c>
      <c r="E6" s="83" t="s">
        <v>25</v>
      </c>
      <c r="F6" s="83" t="s">
        <v>26</v>
      </c>
      <c r="G6" s="83">
        <v>733</v>
      </c>
      <c r="H6" s="83" t="s">
        <v>27</v>
      </c>
      <c r="I6" s="83" t="s">
        <v>29</v>
      </c>
      <c r="J6" s="83">
        <v>1</v>
      </c>
      <c r="K6" s="83">
        <v>1</v>
      </c>
      <c r="L6" s="93" t="s">
        <v>207</v>
      </c>
      <c r="M6" s="90" t="s">
        <v>208</v>
      </c>
      <c r="N6" s="79" t="s">
        <v>205</v>
      </c>
      <c r="O6" s="85" t="s">
        <v>206</v>
      </c>
      <c r="P6" s="83" t="s">
        <v>26</v>
      </c>
      <c r="Q6" s="90">
        <v>13706683</v>
      </c>
      <c r="R6" s="90">
        <v>13708893</v>
      </c>
      <c r="S6" s="83" t="str">
        <f t="shared" si="0"/>
        <v>13706683..13708893</v>
      </c>
      <c r="T6" s="79" t="s">
        <v>209</v>
      </c>
      <c r="V6" s="92" t="s">
        <v>210</v>
      </c>
      <c r="W6" s="80" t="s">
        <v>211</v>
      </c>
      <c r="X6" s="90" t="s">
        <v>203</v>
      </c>
      <c r="Y6" s="81" t="s">
        <v>341</v>
      </c>
      <c r="Z6" s="83">
        <v>0</v>
      </c>
      <c r="AA6" s="83"/>
      <c r="AB6" s="83"/>
    </row>
    <row r="7" spans="1:29" x14ac:dyDescent="0.2">
      <c r="A7" s="83" t="s">
        <v>13</v>
      </c>
      <c r="B7" s="81" t="str">
        <f t="shared" si="1"/>
        <v>Timema_californicum_T76</v>
      </c>
      <c r="C7" s="81" t="s">
        <v>159</v>
      </c>
      <c r="D7" s="83" t="s">
        <v>15</v>
      </c>
      <c r="E7" s="83" t="s">
        <v>160</v>
      </c>
      <c r="F7" s="83" t="s">
        <v>161</v>
      </c>
      <c r="G7" s="139">
        <v>755</v>
      </c>
      <c r="H7" s="83" t="s">
        <v>27</v>
      </c>
      <c r="I7" s="83" t="s">
        <v>29</v>
      </c>
      <c r="J7" s="83">
        <v>1</v>
      </c>
      <c r="K7" s="83">
        <v>1</v>
      </c>
      <c r="L7" s="93" t="s">
        <v>207</v>
      </c>
      <c r="M7" s="83" t="s">
        <v>214</v>
      </c>
      <c r="N7" s="79" t="s">
        <v>212</v>
      </c>
      <c r="O7" s="85" t="s">
        <v>213</v>
      </c>
      <c r="P7" s="83" t="s">
        <v>161</v>
      </c>
      <c r="Q7" s="83">
        <v>1824</v>
      </c>
      <c r="R7" s="83">
        <v>4088</v>
      </c>
      <c r="S7" s="83" t="str">
        <f t="shared" si="0"/>
        <v>1824..4088</v>
      </c>
      <c r="T7" s="79" t="s">
        <v>215</v>
      </c>
      <c r="U7" s="85" t="s">
        <v>216</v>
      </c>
      <c r="W7" s="85"/>
      <c r="Z7" s="83">
        <v>1</v>
      </c>
      <c r="AA7" s="83">
        <v>1</v>
      </c>
      <c r="AB7" s="83">
        <v>1</v>
      </c>
      <c r="AC7" s="83">
        <v>0</v>
      </c>
    </row>
    <row r="8" spans="1:29" x14ac:dyDescent="0.2">
      <c r="A8" s="83" t="s">
        <v>13</v>
      </c>
      <c r="B8" s="81" t="str">
        <f t="shared" si="1"/>
        <v>Abscondita_terminalis_Ate-2015</v>
      </c>
      <c r="C8" s="81" t="s">
        <v>14</v>
      </c>
      <c r="D8" s="83" t="s">
        <v>15</v>
      </c>
      <c r="E8" s="83" t="s">
        <v>16</v>
      </c>
      <c r="F8" s="90" t="s">
        <v>221</v>
      </c>
      <c r="G8" s="83">
        <v>4621</v>
      </c>
      <c r="H8" s="83" t="s">
        <v>18</v>
      </c>
      <c r="I8" s="83" t="s">
        <v>29</v>
      </c>
      <c r="J8" s="83">
        <v>1</v>
      </c>
      <c r="K8" s="83">
        <v>1</v>
      </c>
      <c r="L8" s="84" t="s">
        <v>219</v>
      </c>
      <c r="M8" s="90" t="s">
        <v>220</v>
      </c>
      <c r="N8" s="79" t="s">
        <v>217</v>
      </c>
      <c r="O8" s="82" t="s">
        <v>218</v>
      </c>
      <c r="P8" s="90" t="s">
        <v>221</v>
      </c>
      <c r="Q8" s="90">
        <v>82579</v>
      </c>
      <c r="R8" s="90">
        <v>91667</v>
      </c>
      <c r="S8" s="83" t="s">
        <v>222</v>
      </c>
      <c r="T8" s="79" t="s">
        <v>223</v>
      </c>
      <c r="V8" s="78" t="s">
        <v>224</v>
      </c>
      <c r="W8" s="78" t="s">
        <v>225</v>
      </c>
      <c r="X8" s="90" t="s">
        <v>226</v>
      </c>
      <c r="Y8" s="142" t="s">
        <v>342</v>
      </c>
      <c r="Z8" s="83">
        <v>0</v>
      </c>
      <c r="AA8" s="83"/>
      <c r="AB8" s="83"/>
    </row>
    <row r="9" spans="1:29" x14ac:dyDescent="0.2">
      <c r="A9" s="83" t="s">
        <v>13</v>
      </c>
      <c r="B9" s="81" t="str">
        <f t="shared" si="1"/>
        <v>Gerris_buenoi_Swe94</v>
      </c>
      <c r="C9" s="81" t="s">
        <v>94</v>
      </c>
      <c r="D9" s="83" t="s">
        <v>15</v>
      </c>
      <c r="E9" s="83" t="s">
        <v>63</v>
      </c>
      <c r="F9" s="83" t="s">
        <v>95</v>
      </c>
      <c r="G9" s="83">
        <v>2886</v>
      </c>
      <c r="H9" s="83" t="s">
        <v>27</v>
      </c>
      <c r="I9" s="83" t="s">
        <v>19</v>
      </c>
      <c r="J9" s="83">
        <v>1</v>
      </c>
      <c r="K9" s="83">
        <v>1</v>
      </c>
      <c r="L9" s="95" t="s">
        <v>229</v>
      </c>
      <c r="M9" s="90" t="s">
        <v>230</v>
      </c>
      <c r="N9" s="79" t="s">
        <v>227</v>
      </c>
      <c r="O9" s="85" t="s">
        <v>228</v>
      </c>
      <c r="P9" s="122" t="s">
        <v>231</v>
      </c>
      <c r="Q9" s="90">
        <v>1609221</v>
      </c>
      <c r="R9" s="90">
        <v>1617881</v>
      </c>
      <c r="S9" s="83" t="str">
        <f>_xlfn.CONCAT(Q9,"..",R9)</f>
        <v>1609221..1617881</v>
      </c>
      <c r="T9" s="79" t="s">
        <v>232</v>
      </c>
      <c r="V9" s="85" t="s">
        <v>233</v>
      </c>
      <c r="W9" s="85" t="s">
        <v>234</v>
      </c>
      <c r="X9" s="83" t="s">
        <v>226</v>
      </c>
      <c r="Y9" s="81"/>
      <c r="Z9" s="83">
        <v>1</v>
      </c>
      <c r="AA9" s="83">
        <v>1</v>
      </c>
      <c r="AB9" s="83">
        <v>1</v>
      </c>
      <c r="AC9" s="83">
        <v>1</v>
      </c>
    </row>
    <row r="10" spans="1:29" x14ac:dyDescent="0.2">
      <c r="A10" s="83" t="s">
        <v>13</v>
      </c>
      <c r="B10" s="81" t="str">
        <f t="shared" si="1"/>
        <v>Gerris_buenoi_Swe94</v>
      </c>
      <c r="C10" s="81" t="s">
        <v>94</v>
      </c>
      <c r="D10" s="83" t="s">
        <v>15</v>
      </c>
      <c r="E10" s="83" t="s">
        <v>63</v>
      </c>
      <c r="F10" s="122" t="s">
        <v>231</v>
      </c>
      <c r="G10" s="83">
        <v>2584</v>
      </c>
      <c r="H10" s="83" t="s">
        <v>27</v>
      </c>
      <c r="I10" s="83" t="s">
        <v>29</v>
      </c>
      <c r="J10" s="83">
        <v>1</v>
      </c>
      <c r="K10" s="83">
        <v>1</v>
      </c>
      <c r="L10" s="95" t="s">
        <v>229</v>
      </c>
      <c r="M10" s="90" t="s">
        <v>230</v>
      </c>
      <c r="N10" s="79" t="s">
        <v>227</v>
      </c>
      <c r="O10" s="85" t="s">
        <v>228</v>
      </c>
      <c r="P10" s="122" t="s">
        <v>231</v>
      </c>
      <c r="Q10" s="90">
        <v>1894619</v>
      </c>
      <c r="R10" s="90">
        <v>1897359</v>
      </c>
      <c r="S10" s="83" t="s">
        <v>235</v>
      </c>
      <c r="T10" s="79" t="s">
        <v>232</v>
      </c>
      <c r="V10" s="85" t="s">
        <v>233</v>
      </c>
      <c r="W10" s="85" t="s">
        <v>234</v>
      </c>
      <c r="X10" s="83" t="s">
        <v>226</v>
      </c>
      <c r="Y10" s="81"/>
      <c r="Z10" s="83">
        <v>1</v>
      </c>
      <c r="AA10" s="83">
        <v>1</v>
      </c>
      <c r="AB10" s="83">
        <v>1</v>
      </c>
      <c r="AC10" s="83">
        <v>1</v>
      </c>
    </row>
    <row r="11" spans="1:29" x14ac:dyDescent="0.2">
      <c r="A11" s="83" t="s">
        <v>13</v>
      </c>
      <c r="B11" s="81" t="str">
        <f t="shared" si="1"/>
        <v>Armadillidium_vulgare_WXf-1543</v>
      </c>
      <c r="C11" s="81" t="s">
        <v>46</v>
      </c>
      <c r="D11" s="83" t="s">
        <v>15</v>
      </c>
      <c r="E11" s="83" t="s">
        <v>47</v>
      </c>
      <c r="F11" s="83" t="s">
        <v>53</v>
      </c>
      <c r="G11" s="139">
        <v>2770</v>
      </c>
      <c r="H11" s="83" t="s">
        <v>18</v>
      </c>
      <c r="I11" s="83" t="s">
        <v>19</v>
      </c>
      <c r="J11" s="83">
        <v>1</v>
      </c>
      <c r="K11" s="83">
        <v>1</v>
      </c>
      <c r="L11" s="95" t="s">
        <v>229</v>
      </c>
      <c r="M11" s="90" t="s">
        <v>230</v>
      </c>
      <c r="N11" s="79" t="s">
        <v>236</v>
      </c>
      <c r="O11" s="78" t="s">
        <v>237</v>
      </c>
      <c r="P11" s="90" t="s">
        <v>238</v>
      </c>
      <c r="Q11" s="90">
        <v>880568</v>
      </c>
      <c r="R11" s="90">
        <v>888880</v>
      </c>
      <c r="S11" s="83" t="str">
        <f t="shared" ref="S11:S28" si="2">_xlfn.CONCAT(Q11,"..",R11)</f>
        <v>880568..888880</v>
      </c>
      <c r="T11" s="79" t="s">
        <v>239</v>
      </c>
      <c r="V11" s="78" t="s">
        <v>240</v>
      </c>
      <c r="W11" s="78" t="s">
        <v>241</v>
      </c>
      <c r="X11" s="90" t="s">
        <v>226</v>
      </c>
      <c r="Y11" s="85" t="s">
        <v>343</v>
      </c>
      <c r="Z11" s="83">
        <v>0</v>
      </c>
      <c r="AA11" s="83"/>
      <c r="AB11" s="83"/>
    </row>
    <row r="12" spans="1:29" x14ac:dyDescent="0.2">
      <c r="A12" s="83" t="s">
        <v>13</v>
      </c>
      <c r="B12" s="81" t="str">
        <f t="shared" si="1"/>
        <v>Armadillidium_vulgare_WXf-1543</v>
      </c>
      <c r="C12" s="81" t="s">
        <v>46</v>
      </c>
      <c r="D12" s="83" t="s">
        <v>15</v>
      </c>
      <c r="E12" s="83" t="s">
        <v>47</v>
      </c>
      <c r="F12" s="83" t="s">
        <v>58</v>
      </c>
      <c r="G12" s="83">
        <v>2770</v>
      </c>
      <c r="H12" s="83" t="s">
        <v>18</v>
      </c>
      <c r="I12" s="83" t="s">
        <v>19</v>
      </c>
      <c r="J12" s="83">
        <v>1</v>
      </c>
      <c r="K12" s="83">
        <v>1</v>
      </c>
      <c r="L12" s="95" t="s">
        <v>229</v>
      </c>
      <c r="M12" s="90" t="s">
        <v>230</v>
      </c>
      <c r="N12" s="79" t="s">
        <v>236</v>
      </c>
      <c r="O12" s="78" t="s">
        <v>237</v>
      </c>
      <c r="P12" s="90" t="s">
        <v>238</v>
      </c>
      <c r="Q12" s="90">
        <v>2330639</v>
      </c>
      <c r="R12" s="90">
        <v>2338951</v>
      </c>
      <c r="S12" s="83" t="str">
        <f t="shared" si="2"/>
        <v>2330639..2338951</v>
      </c>
      <c r="T12" s="79" t="s">
        <v>239</v>
      </c>
      <c r="V12" s="78" t="s">
        <v>240</v>
      </c>
      <c r="W12" s="78" t="s">
        <v>241</v>
      </c>
      <c r="X12" s="90" t="s">
        <v>226</v>
      </c>
      <c r="Y12" s="85" t="s">
        <v>343</v>
      </c>
      <c r="Z12" s="83">
        <v>0</v>
      </c>
      <c r="AA12" s="83"/>
      <c r="AB12" s="83"/>
    </row>
    <row r="13" spans="1:29" ht="12.75" customHeight="1" x14ac:dyDescent="0.2">
      <c r="A13" s="83" t="s">
        <v>13</v>
      </c>
      <c r="B13" s="81" t="str">
        <f t="shared" si="1"/>
        <v>Armadillidium_vulgare_WXf-1543</v>
      </c>
      <c r="C13" s="81" t="s">
        <v>46</v>
      </c>
      <c r="D13" s="83" t="s">
        <v>15</v>
      </c>
      <c r="E13" s="83" t="s">
        <v>47</v>
      </c>
      <c r="F13" s="83" t="s">
        <v>54</v>
      </c>
      <c r="G13" s="83">
        <v>2770</v>
      </c>
      <c r="H13" s="83" t="s">
        <v>18</v>
      </c>
      <c r="I13" s="83" t="s">
        <v>19</v>
      </c>
      <c r="J13" s="83">
        <v>1</v>
      </c>
      <c r="K13" s="83">
        <v>1</v>
      </c>
      <c r="L13" s="95" t="s">
        <v>229</v>
      </c>
      <c r="M13" s="90" t="s">
        <v>230</v>
      </c>
      <c r="N13" s="79" t="s">
        <v>236</v>
      </c>
      <c r="O13" s="78" t="s">
        <v>237</v>
      </c>
      <c r="P13" s="90" t="s">
        <v>238</v>
      </c>
      <c r="Q13" s="90">
        <v>1631781</v>
      </c>
      <c r="R13" s="90">
        <v>1640093</v>
      </c>
      <c r="S13" s="83" t="str">
        <f t="shared" si="2"/>
        <v>1631781..1640093</v>
      </c>
      <c r="T13" s="79" t="s">
        <v>239</v>
      </c>
      <c r="V13" s="78" t="s">
        <v>240</v>
      </c>
      <c r="W13" s="78" t="s">
        <v>241</v>
      </c>
      <c r="X13" s="90" t="s">
        <v>226</v>
      </c>
      <c r="Y13" s="85" t="s">
        <v>343</v>
      </c>
      <c r="Z13" s="83">
        <v>0</v>
      </c>
      <c r="AA13" s="83"/>
      <c r="AB13" s="83"/>
    </row>
    <row r="14" spans="1:29" x14ac:dyDescent="0.2">
      <c r="A14" s="83" t="s">
        <v>13</v>
      </c>
      <c r="B14" s="81" t="str">
        <f t="shared" si="1"/>
        <v>Homalodisca_vitripennis_Tul88</v>
      </c>
      <c r="C14" s="81" t="s">
        <v>97</v>
      </c>
      <c r="D14" s="83" t="s">
        <v>15</v>
      </c>
      <c r="E14" s="83" t="s">
        <v>63</v>
      </c>
      <c r="F14" s="83" t="s">
        <v>244</v>
      </c>
      <c r="G14" s="83">
        <v>3222</v>
      </c>
      <c r="H14" s="83" t="s">
        <v>27</v>
      </c>
      <c r="I14" s="83" t="s">
        <v>29</v>
      </c>
      <c r="J14" s="83">
        <v>1</v>
      </c>
      <c r="K14" s="83">
        <v>1</v>
      </c>
      <c r="L14" s="95" t="s">
        <v>229</v>
      </c>
      <c r="M14" s="83" t="s">
        <v>220</v>
      </c>
      <c r="N14" s="79" t="s">
        <v>242</v>
      </c>
      <c r="O14" s="78" t="s">
        <v>243</v>
      </c>
      <c r="P14" s="83" t="s">
        <v>244</v>
      </c>
      <c r="Q14" s="83">
        <v>50115</v>
      </c>
      <c r="R14" s="83">
        <v>51397</v>
      </c>
      <c r="S14" s="83" t="str">
        <f t="shared" si="2"/>
        <v>50115..51397</v>
      </c>
      <c r="T14" s="79" t="s">
        <v>245</v>
      </c>
      <c r="U14" s="85" t="s">
        <v>246</v>
      </c>
      <c r="V14" s="78" t="s">
        <v>247</v>
      </c>
      <c r="W14" s="85" t="s">
        <v>248</v>
      </c>
      <c r="X14" s="83" t="s">
        <v>226</v>
      </c>
      <c r="Y14" s="81"/>
      <c r="Z14" s="83">
        <v>1</v>
      </c>
      <c r="AA14" s="83">
        <v>1</v>
      </c>
      <c r="AB14" s="83">
        <v>1</v>
      </c>
      <c r="AC14" s="83">
        <v>1</v>
      </c>
    </row>
    <row r="15" spans="1:29" x14ac:dyDescent="0.2">
      <c r="A15" s="83" t="s">
        <v>13</v>
      </c>
      <c r="B15" s="81" t="str">
        <f t="shared" si="1"/>
        <v>Homalodisca_vitripennis_Tul88</v>
      </c>
      <c r="C15" s="81" t="s">
        <v>97</v>
      </c>
      <c r="D15" s="83" t="s">
        <v>15</v>
      </c>
      <c r="E15" s="83" t="s">
        <v>63</v>
      </c>
      <c r="F15" s="83" t="s">
        <v>99</v>
      </c>
      <c r="G15" s="83">
        <v>2826</v>
      </c>
      <c r="H15" s="83" t="s">
        <v>27</v>
      </c>
      <c r="I15" s="83" t="s">
        <v>19</v>
      </c>
      <c r="J15" s="83">
        <v>1</v>
      </c>
      <c r="K15" s="83">
        <v>1</v>
      </c>
      <c r="L15" s="95" t="s">
        <v>229</v>
      </c>
      <c r="M15" s="83" t="s">
        <v>230</v>
      </c>
      <c r="N15" s="79" t="s">
        <v>242</v>
      </c>
      <c r="O15" s="78" t="s">
        <v>243</v>
      </c>
      <c r="P15" s="83" t="s">
        <v>244</v>
      </c>
      <c r="Q15" s="83">
        <v>130317</v>
      </c>
      <c r="R15" s="83">
        <v>138797</v>
      </c>
      <c r="S15" s="83" t="str">
        <f t="shared" si="2"/>
        <v>130317..138797</v>
      </c>
      <c r="T15" s="79" t="s">
        <v>245</v>
      </c>
      <c r="U15" s="85" t="s">
        <v>246</v>
      </c>
      <c r="V15" s="78" t="s">
        <v>247</v>
      </c>
      <c r="W15" s="85" t="s">
        <v>248</v>
      </c>
      <c r="X15" s="83" t="s">
        <v>226</v>
      </c>
      <c r="Y15" s="81"/>
      <c r="Z15" s="83">
        <v>1</v>
      </c>
      <c r="AA15" s="83">
        <v>1</v>
      </c>
      <c r="AB15" s="83">
        <v>1</v>
      </c>
      <c r="AC15" s="83">
        <v>1</v>
      </c>
    </row>
    <row r="16" spans="1:29" x14ac:dyDescent="0.2">
      <c r="A16" s="83" t="s">
        <v>13</v>
      </c>
      <c r="B16" s="81" t="str">
        <f t="shared" si="1"/>
        <v>Araneus_ventricosus_Yam34</v>
      </c>
      <c r="C16" s="81" t="s">
        <v>35</v>
      </c>
      <c r="D16" s="83" t="s">
        <v>15</v>
      </c>
      <c r="E16" s="83" t="s">
        <v>36</v>
      </c>
      <c r="F16" s="90" t="s">
        <v>252</v>
      </c>
      <c r="G16" s="83">
        <v>1820</v>
      </c>
      <c r="H16" s="83" t="s">
        <v>27</v>
      </c>
      <c r="I16" s="83" t="s">
        <v>29</v>
      </c>
      <c r="J16" s="83">
        <v>1</v>
      </c>
      <c r="K16" s="83">
        <v>1</v>
      </c>
      <c r="L16" s="94" t="s">
        <v>251</v>
      </c>
      <c r="M16" s="90" t="s">
        <v>220</v>
      </c>
      <c r="N16" s="79" t="s">
        <v>249</v>
      </c>
      <c r="O16" s="78" t="s">
        <v>250</v>
      </c>
      <c r="P16" s="90" t="s">
        <v>252</v>
      </c>
      <c r="Q16" s="90">
        <v>173542</v>
      </c>
      <c r="R16" s="90">
        <v>174200</v>
      </c>
      <c r="S16" s="83" t="str">
        <f t="shared" si="2"/>
        <v>173542..174200</v>
      </c>
      <c r="T16" s="79" t="s">
        <v>253</v>
      </c>
      <c r="V16" s="78" t="s">
        <v>254</v>
      </c>
      <c r="W16" s="92" t="s">
        <v>255</v>
      </c>
      <c r="X16" s="90" t="s">
        <v>226</v>
      </c>
      <c r="Y16" s="83"/>
      <c r="Z16" s="83">
        <v>1</v>
      </c>
      <c r="AA16" s="83">
        <v>1</v>
      </c>
      <c r="AB16" s="83">
        <v>0</v>
      </c>
      <c r="AC16" s="83">
        <v>0</v>
      </c>
    </row>
    <row r="17" spans="1:29" x14ac:dyDescent="0.2">
      <c r="A17" s="83" t="s">
        <v>13</v>
      </c>
      <c r="B17" s="81" t="str">
        <f t="shared" si="1"/>
        <v>Nephila_pilipes_Oki30</v>
      </c>
      <c r="C17" s="81" t="s">
        <v>129</v>
      </c>
      <c r="D17" s="83" t="s">
        <v>15</v>
      </c>
      <c r="E17" s="83" t="s">
        <v>36</v>
      </c>
      <c r="F17" s="83" t="s">
        <v>131</v>
      </c>
      <c r="G17" s="83">
        <v>1005</v>
      </c>
      <c r="H17" s="83" t="s">
        <v>18</v>
      </c>
      <c r="I17" s="83" t="s">
        <v>19</v>
      </c>
      <c r="J17" s="83">
        <v>1</v>
      </c>
      <c r="K17" s="83">
        <v>1</v>
      </c>
      <c r="L17" s="94" t="s">
        <v>251</v>
      </c>
      <c r="M17" s="83" t="s">
        <v>230</v>
      </c>
      <c r="N17" s="79" t="s">
        <v>256</v>
      </c>
      <c r="O17" s="85" t="s">
        <v>257</v>
      </c>
      <c r="P17" s="83" t="s">
        <v>258</v>
      </c>
      <c r="Q17" s="83">
        <v>1095</v>
      </c>
      <c r="R17" s="83">
        <v>3105</v>
      </c>
      <c r="S17" s="83" t="str">
        <f t="shared" si="2"/>
        <v>1095..3105</v>
      </c>
      <c r="T17" s="79" t="s">
        <v>259</v>
      </c>
      <c r="V17" s="85" t="s">
        <v>260</v>
      </c>
      <c r="W17" s="85" t="s">
        <v>261</v>
      </c>
      <c r="X17" s="83" t="s">
        <v>226</v>
      </c>
      <c r="Y17" s="81"/>
      <c r="Z17" s="83">
        <v>1</v>
      </c>
      <c r="AA17" s="83">
        <v>1</v>
      </c>
      <c r="AB17" s="83">
        <v>0</v>
      </c>
      <c r="AC17" s="83">
        <v>1</v>
      </c>
    </row>
    <row r="18" spans="1:29" x14ac:dyDescent="0.2">
      <c r="A18" s="83" t="s">
        <v>13</v>
      </c>
      <c r="B18" s="81" t="str">
        <f t="shared" si="1"/>
        <v>Phlebotomus_argentipes_P92</v>
      </c>
      <c r="C18" s="81" t="s">
        <v>141</v>
      </c>
      <c r="D18" s="83" t="s">
        <v>15</v>
      </c>
      <c r="E18" s="83" t="s">
        <v>83</v>
      </c>
      <c r="F18" s="83" t="s">
        <v>142</v>
      </c>
      <c r="G18" s="83">
        <v>3900</v>
      </c>
      <c r="H18" s="83" t="s">
        <v>27</v>
      </c>
      <c r="I18" s="83" t="s">
        <v>19</v>
      </c>
      <c r="J18" s="83">
        <v>1</v>
      </c>
      <c r="K18" s="83">
        <v>1</v>
      </c>
      <c r="L18" s="94" t="s">
        <v>251</v>
      </c>
      <c r="M18" s="83" t="s">
        <v>230</v>
      </c>
      <c r="N18" s="92" t="s">
        <v>262</v>
      </c>
      <c r="O18" s="85" t="s">
        <v>263</v>
      </c>
      <c r="P18" s="83" t="s">
        <v>264</v>
      </c>
      <c r="Q18" s="83">
        <v>6845719</v>
      </c>
      <c r="R18" s="83">
        <v>6859011</v>
      </c>
      <c r="S18" s="83" t="str">
        <f t="shared" si="2"/>
        <v>6845719..6859011</v>
      </c>
      <c r="T18" s="79" t="s">
        <v>265</v>
      </c>
      <c r="V18" s="85" t="s">
        <v>266</v>
      </c>
      <c r="W18" s="92" t="s">
        <v>267</v>
      </c>
      <c r="X18" s="83" t="s">
        <v>226</v>
      </c>
      <c r="Y18" s="81"/>
      <c r="Z18" s="83">
        <v>0</v>
      </c>
      <c r="AA18" s="83"/>
      <c r="AB18" s="83"/>
    </row>
    <row r="19" spans="1:29" x14ac:dyDescent="0.2">
      <c r="A19" s="83" t="s">
        <v>13</v>
      </c>
      <c r="B19" s="81" t="str">
        <f t="shared" si="1"/>
        <v>Brachionus_calyciflorus_Ploen</v>
      </c>
      <c r="C19" s="81" t="s">
        <v>59</v>
      </c>
      <c r="D19" s="83" t="s">
        <v>60</v>
      </c>
      <c r="E19" s="83" t="s">
        <v>60</v>
      </c>
      <c r="F19" s="83" t="s">
        <v>61</v>
      </c>
      <c r="G19" s="83">
        <v>4537</v>
      </c>
      <c r="H19" s="83" t="s">
        <v>18</v>
      </c>
      <c r="I19" s="83" t="s">
        <v>19</v>
      </c>
      <c r="J19" s="83">
        <v>1</v>
      </c>
      <c r="K19" s="83">
        <v>1</v>
      </c>
      <c r="L19" s="94" t="s">
        <v>251</v>
      </c>
      <c r="M19" s="90" t="s">
        <v>230</v>
      </c>
      <c r="N19" s="79" t="s">
        <v>268</v>
      </c>
      <c r="O19" s="78" t="s">
        <v>269</v>
      </c>
      <c r="P19" s="90" t="s">
        <v>270</v>
      </c>
      <c r="Q19" s="90">
        <v>1664</v>
      </c>
      <c r="R19" s="90">
        <v>1836</v>
      </c>
      <c r="S19" s="83" t="str">
        <f t="shared" si="2"/>
        <v>1664..1836</v>
      </c>
      <c r="T19" s="79" t="s">
        <v>271</v>
      </c>
      <c r="V19" s="92" t="s">
        <v>272</v>
      </c>
      <c r="W19" s="80" t="s">
        <v>273</v>
      </c>
      <c r="X19" s="90" t="s">
        <v>226</v>
      </c>
      <c r="Y19" s="142"/>
      <c r="Z19" s="83">
        <v>0</v>
      </c>
      <c r="AA19" s="83"/>
      <c r="AB19" s="83"/>
    </row>
    <row r="20" spans="1:29" x14ac:dyDescent="0.2">
      <c r="A20" s="83" t="s">
        <v>13</v>
      </c>
      <c r="B20" s="81" t="str">
        <f t="shared" si="1"/>
        <v>Dendroctonus_ponderosae_FM20</v>
      </c>
      <c r="C20" s="81" t="s">
        <v>71</v>
      </c>
      <c r="D20" s="83" t="s">
        <v>15</v>
      </c>
      <c r="E20" s="83" t="s">
        <v>16</v>
      </c>
      <c r="F20" s="83" t="s">
        <v>74</v>
      </c>
      <c r="G20" s="83">
        <v>4507</v>
      </c>
      <c r="H20" s="83" t="s">
        <v>27</v>
      </c>
      <c r="I20" s="83" t="s">
        <v>19</v>
      </c>
      <c r="J20" s="83">
        <v>1</v>
      </c>
      <c r="K20" s="83">
        <v>1</v>
      </c>
      <c r="L20" s="94" t="s">
        <v>251</v>
      </c>
      <c r="M20" s="90" t="s">
        <v>230</v>
      </c>
      <c r="N20" s="78" t="s">
        <v>274</v>
      </c>
      <c r="O20" s="85" t="s">
        <v>275</v>
      </c>
      <c r="P20" s="90" t="s">
        <v>276</v>
      </c>
      <c r="Q20" s="90">
        <v>15406443</v>
      </c>
      <c r="R20" s="90">
        <v>15420113</v>
      </c>
      <c r="S20" s="83" t="str">
        <f t="shared" si="2"/>
        <v>15406443..15420113</v>
      </c>
      <c r="T20" s="79" t="s">
        <v>277</v>
      </c>
      <c r="U20" s="80" t="s">
        <v>200</v>
      </c>
      <c r="V20" s="92" t="s">
        <v>278</v>
      </c>
      <c r="W20" s="80" t="s">
        <v>279</v>
      </c>
      <c r="X20" s="90" t="s">
        <v>226</v>
      </c>
      <c r="Y20" s="81"/>
      <c r="Z20" s="83">
        <v>0</v>
      </c>
      <c r="AA20" s="83"/>
      <c r="AB20" s="83"/>
    </row>
    <row r="21" spans="1:29" x14ac:dyDescent="0.2">
      <c r="A21" s="83" t="s">
        <v>13</v>
      </c>
      <c r="B21" s="81" t="str">
        <f t="shared" si="1"/>
        <v>Dendroctonus_ponderosae_FM20</v>
      </c>
      <c r="C21" s="81" t="s">
        <v>71</v>
      </c>
      <c r="D21" s="83" t="s">
        <v>15</v>
      </c>
      <c r="E21" s="83" t="s">
        <v>16</v>
      </c>
      <c r="F21" s="83" t="s">
        <v>77</v>
      </c>
      <c r="G21" s="83">
        <v>1249</v>
      </c>
      <c r="H21" s="83" t="s">
        <v>27</v>
      </c>
      <c r="I21" s="83" t="s">
        <v>19</v>
      </c>
      <c r="J21" s="83">
        <v>1</v>
      </c>
      <c r="K21" s="83">
        <v>1</v>
      </c>
      <c r="L21" s="94" t="s">
        <v>251</v>
      </c>
      <c r="M21" s="90" t="s">
        <v>230</v>
      </c>
      <c r="N21" s="78" t="s">
        <v>274</v>
      </c>
      <c r="O21" s="85" t="s">
        <v>275</v>
      </c>
      <c r="P21" s="90" t="s">
        <v>276</v>
      </c>
      <c r="Q21" s="90">
        <v>15300194</v>
      </c>
      <c r="R21" s="90">
        <v>15303943</v>
      </c>
      <c r="S21" s="83" t="str">
        <f t="shared" si="2"/>
        <v>15300194..15303943</v>
      </c>
      <c r="T21" s="79" t="s">
        <v>277</v>
      </c>
      <c r="U21" s="80" t="s">
        <v>200</v>
      </c>
      <c r="V21" s="92" t="s">
        <v>278</v>
      </c>
      <c r="W21" s="80" t="s">
        <v>279</v>
      </c>
      <c r="X21" s="90" t="s">
        <v>226</v>
      </c>
      <c r="Y21" s="81"/>
      <c r="Z21" s="83">
        <v>0</v>
      </c>
      <c r="AA21" s="83"/>
      <c r="AB21" s="83"/>
    </row>
    <row r="22" spans="1:29" x14ac:dyDescent="0.2">
      <c r="A22" s="83" t="s">
        <v>13</v>
      </c>
      <c r="B22" s="81" t="str">
        <f t="shared" si="1"/>
        <v>Dendroctonus_ponderosae_FM20</v>
      </c>
      <c r="C22" s="81" t="s">
        <v>71</v>
      </c>
      <c r="D22" s="83" t="s">
        <v>15</v>
      </c>
      <c r="E22" s="83" t="s">
        <v>16</v>
      </c>
      <c r="F22" s="83" t="s">
        <v>76</v>
      </c>
      <c r="G22" s="83">
        <v>4507</v>
      </c>
      <c r="H22" s="83" t="s">
        <v>27</v>
      </c>
      <c r="I22" s="83" t="s">
        <v>19</v>
      </c>
      <c r="J22" s="83">
        <v>1</v>
      </c>
      <c r="K22" s="83">
        <v>1</v>
      </c>
      <c r="L22" s="94" t="s">
        <v>251</v>
      </c>
      <c r="M22" s="83" t="s">
        <v>230</v>
      </c>
      <c r="N22" s="78" t="s">
        <v>274</v>
      </c>
      <c r="O22" s="85" t="s">
        <v>275</v>
      </c>
      <c r="P22" s="83" t="s">
        <v>276</v>
      </c>
      <c r="Q22" s="83">
        <v>15406443</v>
      </c>
      <c r="R22" s="83">
        <v>15420113</v>
      </c>
      <c r="S22" s="83" t="str">
        <f t="shared" si="2"/>
        <v>15406443..15420113</v>
      </c>
      <c r="T22" s="79" t="s">
        <v>277</v>
      </c>
      <c r="U22" s="80" t="s">
        <v>200</v>
      </c>
      <c r="V22" s="92" t="s">
        <v>278</v>
      </c>
      <c r="W22" s="80" t="s">
        <v>279</v>
      </c>
      <c r="X22" s="90" t="s">
        <v>226</v>
      </c>
      <c r="Y22" s="81"/>
      <c r="Z22" s="83">
        <v>0</v>
      </c>
      <c r="AA22" s="83"/>
      <c r="AB22" s="83"/>
    </row>
    <row r="23" spans="1:29" x14ac:dyDescent="0.2">
      <c r="A23" s="83" t="s">
        <v>13</v>
      </c>
      <c r="B23" s="81" t="str">
        <f t="shared" si="1"/>
        <v>Dendroctonus_ponderosae_MF20</v>
      </c>
      <c r="C23" s="81" t="s">
        <v>71</v>
      </c>
      <c r="D23" s="83" t="s">
        <v>15</v>
      </c>
      <c r="E23" s="83" t="s">
        <v>16</v>
      </c>
      <c r="F23" s="83" t="s">
        <v>72</v>
      </c>
      <c r="G23" s="83">
        <v>1247</v>
      </c>
      <c r="H23" s="83" t="s">
        <v>27</v>
      </c>
      <c r="I23" s="83" t="s">
        <v>19</v>
      </c>
      <c r="J23" s="83">
        <v>1</v>
      </c>
      <c r="K23" s="83">
        <v>1</v>
      </c>
      <c r="L23" s="94" t="s">
        <v>251</v>
      </c>
      <c r="M23" s="83" t="s">
        <v>220</v>
      </c>
      <c r="N23" s="79" t="s">
        <v>280</v>
      </c>
      <c r="O23" s="85" t="s">
        <v>281</v>
      </c>
      <c r="P23" s="83" t="s">
        <v>282</v>
      </c>
      <c r="Q23" s="83">
        <v>1056537</v>
      </c>
      <c r="R23" s="83">
        <v>1060280</v>
      </c>
      <c r="S23" s="83" t="str">
        <f t="shared" si="2"/>
        <v>1056537..1060280</v>
      </c>
      <c r="T23" s="79" t="s">
        <v>283</v>
      </c>
      <c r="U23" s="80" t="s">
        <v>200</v>
      </c>
      <c r="V23" s="92" t="s">
        <v>284</v>
      </c>
      <c r="W23" s="80" t="s">
        <v>285</v>
      </c>
      <c r="X23" s="90" t="s">
        <v>226</v>
      </c>
      <c r="Y23" s="81"/>
      <c r="Z23" s="83">
        <v>0</v>
      </c>
      <c r="AA23" s="83"/>
      <c r="AB23" s="83"/>
    </row>
    <row r="24" spans="1:29" x14ac:dyDescent="0.2">
      <c r="A24" s="83" t="s">
        <v>13</v>
      </c>
      <c r="B24" s="81" t="str">
        <f t="shared" si="1"/>
        <v>Lutzomyia_longipalpis_SR22</v>
      </c>
      <c r="C24" s="81" t="s">
        <v>104</v>
      </c>
      <c r="D24" s="83" t="s">
        <v>15</v>
      </c>
      <c r="E24" s="83" t="s">
        <v>83</v>
      </c>
      <c r="F24" s="83" t="s">
        <v>105</v>
      </c>
      <c r="G24" s="83">
        <v>4722</v>
      </c>
      <c r="H24" s="83" t="s">
        <v>27</v>
      </c>
      <c r="I24" s="83" t="s">
        <v>19</v>
      </c>
      <c r="J24" s="83">
        <v>1</v>
      </c>
      <c r="K24" s="83">
        <v>1</v>
      </c>
      <c r="L24" s="94" t="s">
        <v>251</v>
      </c>
      <c r="M24" s="83" t="s">
        <v>230</v>
      </c>
      <c r="N24" s="92" t="s">
        <v>286</v>
      </c>
      <c r="O24" s="85" t="s">
        <v>287</v>
      </c>
      <c r="P24" s="83" t="s">
        <v>288</v>
      </c>
      <c r="Q24" s="83">
        <v>2394985</v>
      </c>
      <c r="R24" s="83">
        <v>2409153</v>
      </c>
      <c r="S24" s="83" t="str">
        <f t="shared" si="2"/>
        <v>2394985..2409153</v>
      </c>
      <c r="T24" s="79" t="s">
        <v>289</v>
      </c>
      <c r="U24" s="80" t="s">
        <v>216</v>
      </c>
      <c r="V24" s="92" t="s">
        <v>290</v>
      </c>
      <c r="W24" s="92" t="s">
        <v>291</v>
      </c>
      <c r="X24" s="83" t="s">
        <v>203</v>
      </c>
      <c r="Y24" s="81"/>
      <c r="Z24" s="83">
        <v>0</v>
      </c>
      <c r="AA24" s="83"/>
      <c r="AB24" s="83"/>
    </row>
    <row r="25" spans="1:29" x14ac:dyDescent="0.2">
      <c r="A25" s="83" t="s">
        <v>13</v>
      </c>
      <c r="B25" s="81" t="str">
        <f t="shared" si="1"/>
        <v>Lutzomyia_longipalpis_SR22</v>
      </c>
      <c r="C25" s="81" t="s">
        <v>104</v>
      </c>
      <c r="D25" s="83" t="s">
        <v>15</v>
      </c>
      <c r="E25" s="83" t="s">
        <v>83</v>
      </c>
      <c r="F25" s="83" t="s">
        <v>106</v>
      </c>
      <c r="G25" s="83">
        <v>3560</v>
      </c>
      <c r="H25" s="83" t="s">
        <v>27</v>
      </c>
      <c r="I25" s="83" t="s">
        <v>19</v>
      </c>
      <c r="J25" s="83">
        <v>1</v>
      </c>
      <c r="K25" s="83">
        <v>1</v>
      </c>
      <c r="L25" s="94" t="s">
        <v>251</v>
      </c>
      <c r="M25" s="83" t="s">
        <v>230</v>
      </c>
      <c r="N25" s="92" t="s">
        <v>286</v>
      </c>
      <c r="O25" s="85" t="s">
        <v>287</v>
      </c>
      <c r="P25" s="83" t="s">
        <v>288</v>
      </c>
      <c r="Q25" s="83">
        <v>2398409</v>
      </c>
      <c r="R25" s="83">
        <v>2409153</v>
      </c>
      <c r="S25" s="83" t="str">
        <f t="shared" si="2"/>
        <v>2398409..2409153</v>
      </c>
      <c r="T25" s="79" t="s">
        <v>289</v>
      </c>
      <c r="U25" s="80" t="s">
        <v>216</v>
      </c>
      <c r="V25" s="92" t="s">
        <v>290</v>
      </c>
      <c r="W25" s="92" t="s">
        <v>291</v>
      </c>
      <c r="X25" s="83" t="s">
        <v>203</v>
      </c>
      <c r="Y25" s="81"/>
      <c r="Z25" s="83">
        <v>0</v>
      </c>
      <c r="AA25" s="83"/>
      <c r="AB25" s="83"/>
    </row>
    <row r="26" spans="1:29" x14ac:dyDescent="0.2">
      <c r="A26" s="83" t="s">
        <v>13</v>
      </c>
      <c r="B26" s="81" t="str">
        <f t="shared" si="1"/>
        <v>Ditylenchus_destructor_GSAUP</v>
      </c>
      <c r="C26" s="85" t="s">
        <v>78</v>
      </c>
      <c r="D26" s="83" t="s">
        <v>79</v>
      </c>
      <c r="E26" s="83" t="s">
        <v>79</v>
      </c>
      <c r="F26" s="144" t="s">
        <v>81</v>
      </c>
      <c r="G26" s="83">
        <v>1797</v>
      </c>
      <c r="H26" s="83" t="s">
        <v>27</v>
      </c>
      <c r="I26" s="83" t="s">
        <v>19</v>
      </c>
      <c r="J26" s="83">
        <v>1</v>
      </c>
      <c r="K26" s="83">
        <v>0</v>
      </c>
      <c r="L26" s="83" t="s">
        <v>311</v>
      </c>
      <c r="M26" s="83" t="s">
        <v>596</v>
      </c>
      <c r="N26" s="143" t="s">
        <v>593</v>
      </c>
      <c r="O26" s="85" t="s">
        <v>597</v>
      </c>
      <c r="P26" s="122" t="s">
        <v>595</v>
      </c>
      <c r="Q26" s="83">
        <v>77045</v>
      </c>
      <c r="R26" s="83">
        <v>79270</v>
      </c>
      <c r="S26" s="83" t="str">
        <f t="shared" si="2"/>
        <v>77045..79270</v>
      </c>
      <c r="T26" s="143" t="s">
        <v>594</v>
      </c>
      <c r="U26" s="80"/>
      <c r="V26" s="143" t="s">
        <v>598</v>
      </c>
      <c r="W26" s="81" t="s">
        <v>599</v>
      </c>
      <c r="X26" s="83" t="s">
        <v>600</v>
      </c>
      <c r="Z26" s="80"/>
    </row>
    <row r="27" spans="1:29" x14ac:dyDescent="0.2">
      <c r="A27" s="83" t="s">
        <v>13</v>
      </c>
      <c r="B27" s="81" t="str">
        <f t="shared" si="1"/>
        <v>Pararge_aegeria_aegeria_Psw</v>
      </c>
      <c r="C27" s="85" t="s">
        <v>592</v>
      </c>
      <c r="D27" s="83" t="s">
        <v>15</v>
      </c>
      <c r="E27" s="83" t="s">
        <v>25</v>
      </c>
      <c r="F27" s="83" t="s">
        <v>603</v>
      </c>
      <c r="G27" s="83">
        <v>1174</v>
      </c>
      <c r="H27" s="83" t="s">
        <v>18</v>
      </c>
      <c r="I27" s="83" t="s">
        <v>29</v>
      </c>
      <c r="J27" s="83">
        <v>1</v>
      </c>
      <c r="K27" s="83">
        <v>0</v>
      </c>
      <c r="L27" s="83" t="s">
        <v>311</v>
      </c>
      <c r="M27" s="83" t="s">
        <v>230</v>
      </c>
      <c r="N27" s="143" t="s">
        <v>601</v>
      </c>
      <c r="O27" s="85" t="s">
        <v>608</v>
      </c>
      <c r="P27" s="83" t="s">
        <v>603</v>
      </c>
      <c r="Q27" s="83">
        <v>6966</v>
      </c>
      <c r="R27" s="83">
        <v>8381</v>
      </c>
      <c r="S27" s="83" t="str">
        <f t="shared" si="2"/>
        <v>6966..8381</v>
      </c>
      <c r="T27" s="143" t="s">
        <v>602</v>
      </c>
      <c r="U27" s="80"/>
      <c r="V27" s="143" t="s">
        <v>605</v>
      </c>
      <c r="W27" s="80" t="s">
        <v>604</v>
      </c>
      <c r="X27" s="90" t="s">
        <v>226</v>
      </c>
    </row>
    <row r="28" spans="1:29" x14ac:dyDescent="0.2">
      <c r="A28" s="83" t="s">
        <v>13</v>
      </c>
      <c r="B28" s="81" t="str">
        <f t="shared" si="1"/>
        <v>Trichonephila_clavata_Yam55</v>
      </c>
      <c r="C28" s="85" t="s">
        <v>162</v>
      </c>
      <c r="D28" s="83" t="s">
        <v>15</v>
      </c>
      <c r="E28" s="83" t="s">
        <v>36</v>
      </c>
      <c r="F28" s="144" t="s">
        <v>167</v>
      </c>
      <c r="G28" s="83">
        <v>216</v>
      </c>
      <c r="H28" s="83" t="s">
        <v>27</v>
      </c>
      <c r="I28" s="83" t="s">
        <v>19</v>
      </c>
      <c r="J28" s="83">
        <v>1</v>
      </c>
      <c r="K28" s="83">
        <v>0</v>
      </c>
      <c r="L28" s="83" t="s">
        <v>311</v>
      </c>
      <c r="M28" s="83" t="s">
        <v>230</v>
      </c>
      <c r="N28" s="143" t="s">
        <v>606</v>
      </c>
      <c r="O28" s="85" t="s">
        <v>612</v>
      </c>
      <c r="P28" s="83" t="s">
        <v>607</v>
      </c>
      <c r="Q28" s="83">
        <v>29782</v>
      </c>
      <c r="R28" s="83">
        <v>29900</v>
      </c>
      <c r="S28" s="83" t="str">
        <f t="shared" si="2"/>
        <v>29782..29900</v>
      </c>
      <c r="T28" s="143" t="s">
        <v>609</v>
      </c>
      <c r="U28" s="80"/>
      <c r="V28" s="80" t="s">
        <v>611</v>
      </c>
      <c r="W28" s="81" t="s">
        <v>610</v>
      </c>
      <c r="X28" s="83" t="s">
        <v>226</v>
      </c>
    </row>
    <row r="29" spans="1:29" x14ac:dyDescent="0.2">
      <c r="A29" s="83"/>
      <c r="B29" s="145"/>
      <c r="F29" s="83"/>
      <c r="G29" s="83"/>
      <c r="K29" s="83"/>
      <c r="M29" s="79"/>
      <c r="N29" s="83"/>
      <c r="O29" s="83"/>
      <c r="P29" s="146"/>
      <c r="Q29" s="83"/>
      <c r="R29" s="83"/>
      <c r="S29" s="83"/>
      <c r="T29" s="92"/>
      <c r="U29" s="80"/>
    </row>
    <row r="30" spans="1:29" x14ac:dyDescent="0.2">
      <c r="A30" s="83"/>
      <c r="F30" s="83"/>
      <c r="G30" s="83"/>
      <c r="K30" s="83"/>
      <c r="M30" s="79"/>
      <c r="N30" s="83"/>
      <c r="O30" s="83"/>
      <c r="P30" s="90"/>
      <c r="Q30" s="83"/>
      <c r="R30" s="147"/>
      <c r="S30" s="83"/>
      <c r="T30" s="83"/>
    </row>
    <row r="31" spans="1:29" x14ac:dyDescent="0.2">
      <c r="A31" s="83"/>
      <c r="F31" s="83"/>
      <c r="G31" s="83"/>
      <c r="K31" s="83"/>
      <c r="M31" s="79"/>
      <c r="N31" s="83"/>
      <c r="O31" s="83"/>
      <c r="P31" s="90"/>
      <c r="Q31" s="83"/>
      <c r="R31" s="147"/>
      <c r="S31" s="83"/>
    </row>
    <row r="32" spans="1:29" x14ac:dyDescent="0.2">
      <c r="A32" s="83"/>
      <c r="F32" s="83"/>
      <c r="G32" s="83"/>
      <c r="K32" s="83"/>
      <c r="M32" s="79"/>
      <c r="N32" s="83"/>
      <c r="O32" s="83"/>
      <c r="P32" s="90"/>
      <c r="Q32" s="83"/>
      <c r="R32" s="138"/>
      <c r="S32" s="83"/>
    </row>
    <row r="33" spans="1:23" x14ac:dyDescent="0.2">
      <c r="A33" s="83"/>
      <c r="F33" s="83"/>
      <c r="G33" s="83"/>
      <c r="K33" s="83"/>
      <c r="M33" s="79"/>
      <c r="N33" s="83"/>
      <c r="O33" s="83"/>
      <c r="P33" s="90"/>
      <c r="Q33" s="83"/>
      <c r="R33" s="138"/>
      <c r="S33" s="83"/>
    </row>
    <row r="34" spans="1:23" x14ac:dyDescent="0.2">
      <c r="A34" s="83"/>
      <c r="F34" s="83"/>
      <c r="G34" s="83"/>
      <c r="K34" s="83"/>
      <c r="M34" s="79"/>
      <c r="N34" s="83"/>
      <c r="O34" s="83"/>
      <c r="P34" s="79"/>
      <c r="Q34" s="85"/>
      <c r="S34" s="85"/>
    </row>
    <row r="35" spans="1:23" x14ac:dyDescent="0.2">
      <c r="A35" s="83"/>
      <c r="F35" s="83"/>
      <c r="G35" s="83"/>
      <c r="K35" s="83"/>
      <c r="M35" s="79"/>
      <c r="N35" s="83"/>
      <c r="O35" s="83"/>
      <c r="P35" s="78"/>
      <c r="Q35" s="85"/>
      <c r="S35" s="85"/>
    </row>
    <row r="36" spans="1:23" x14ac:dyDescent="0.2">
      <c r="A36" s="83"/>
      <c r="F36" s="83"/>
      <c r="G36" s="83"/>
      <c r="K36" s="83"/>
      <c r="M36" s="79"/>
      <c r="N36" s="83"/>
      <c r="O36" s="83"/>
      <c r="P36" s="78"/>
      <c r="Q36" s="85"/>
      <c r="S36" s="85"/>
    </row>
    <row r="37" spans="1:23" x14ac:dyDescent="0.2">
      <c r="A37" s="83"/>
      <c r="F37" s="83"/>
      <c r="G37" s="83"/>
      <c r="K37" s="83"/>
      <c r="M37" s="79"/>
      <c r="N37" s="83"/>
      <c r="O37" s="83"/>
      <c r="P37" s="78"/>
      <c r="Q37" s="85"/>
      <c r="S37" s="85"/>
    </row>
    <row r="38" spans="1:23" ht="15" customHeight="1" thickBot="1" x14ac:dyDescent="0.25">
      <c r="A38" s="83"/>
      <c r="F38" s="83"/>
      <c r="G38" s="83"/>
      <c r="K38" s="83"/>
      <c r="M38" s="79"/>
      <c r="N38" s="83"/>
      <c r="O38" s="83"/>
      <c r="P38" s="78"/>
      <c r="Q38" s="148"/>
      <c r="R38" s="148"/>
      <c r="S38" s="85"/>
    </row>
    <row r="39" spans="1:23" ht="15" thickBot="1" x14ac:dyDescent="0.25">
      <c r="A39" s="83"/>
      <c r="F39" s="83"/>
      <c r="G39" s="83"/>
      <c r="K39" s="83"/>
      <c r="M39" s="79"/>
      <c r="N39" s="83"/>
      <c r="O39" s="83"/>
      <c r="T39" s="92"/>
      <c r="U39" s="149"/>
    </row>
    <row r="40" spans="1:23" x14ac:dyDescent="0.2">
      <c r="A40" s="83"/>
      <c r="F40" s="83"/>
      <c r="G40" s="83"/>
      <c r="K40" s="83"/>
      <c r="M40" s="79"/>
      <c r="N40" s="83"/>
      <c r="O40" s="83"/>
      <c r="P40" s="78"/>
      <c r="Q40" s="85"/>
      <c r="S40" s="85"/>
      <c r="T40" s="92"/>
    </row>
    <row r="41" spans="1:23" ht="15" customHeight="1" x14ac:dyDescent="0.2">
      <c r="A41" s="83"/>
      <c r="F41" s="83"/>
      <c r="G41" s="83"/>
      <c r="K41" s="83"/>
      <c r="M41" s="79"/>
      <c r="N41" s="83"/>
      <c r="O41" s="83"/>
      <c r="P41" s="78"/>
      <c r="Q41" s="85"/>
      <c r="S41" s="85"/>
      <c r="T41" s="92"/>
    </row>
    <row r="42" spans="1:23" x14ac:dyDescent="0.2">
      <c r="A42" s="83"/>
      <c r="F42" s="83"/>
      <c r="G42" s="83"/>
      <c r="K42" s="83"/>
      <c r="M42" s="79"/>
      <c r="N42" s="83"/>
      <c r="O42" s="83"/>
      <c r="P42" s="78"/>
      <c r="Q42" s="148"/>
      <c r="R42" s="148"/>
      <c r="T42" s="92"/>
      <c r="U42" s="92"/>
    </row>
    <row r="43" spans="1:23" x14ac:dyDescent="0.2">
      <c r="A43" s="83"/>
      <c r="F43" s="83"/>
      <c r="G43" s="83"/>
      <c r="K43" s="83"/>
      <c r="M43" s="85"/>
      <c r="N43" s="83"/>
      <c r="O43" s="83"/>
      <c r="P43" s="85"/>
      <c r="Q43" s="85"/>
      <c r="S43" s="85"/>
    </row>
    <row r="44" spans="1:23" x14ac:dyDescent="0.2">
      <c r="A44" s="83"/>
      <c r="F44" s="83"/>
      <c r="G44" s="83"/>
      <c r="K44" s="83"/>
      <c r="L44" s="90"/>
      <c r="M44" s="85"/>
      <c r="N44" s="83"/>
      <c r="O44" s="83"/>
      <c r="P44" s="78"/>
      <c r="Q44" s="85"/>
      <c r="R44" s="78"/>
      <c r="S44" s="85"/>
    </row>
    <row r="45" spans="1:23" x14ac:dyDescent="0.2">
      <c r="A45" s="83"/>
      <c r="F45" s="83"/>
      <c r="G45" s="83"/>
      <c r="K45" s="83"/>
      <c r="L45" s="90"/>
      <c r="M45" s="85"/>
      <c r="N45" s="83"/>
      <c r="O45" s="83"/>
      <c r="P45" s="78"/>
      <c r="Q45" s="85"/>
      <c r="R45" s="78"/>
      <c r="S45" s="85"/>
    </row>
    <row r="46" spans="1:23" x14ac:dyDescent="0.2">
      <c r="A46" s="83"/>
      <c r="F46" s="83"/>
      <c r="G46" s="83"/>
      <c r="K46" s="83"/>
      <c r="M46" s="79"/>
      <c r="N46" s="83"/>
      <c r="O46" s="83"/>
      <c r="P46" s="78"/>
      <c r="Q46" s="85"/>
      <c r="T46" s="92"/>
      <c r="U46" s="92"/>
    </row>
    <row r="47" spans="1:23" x14ac:dyDescent="0.2">
      <c r="A47" s="83"/>
      <c r="F47" s="83"/>
      <c r="G47" s="83"/>
      <c r="K47" s="83"/>
      <c r="M47" s="79"/>
      <c r="N47" s="83"/>
      <c r="O47" s="83"/>
      <c r="P47" s="78"/>
      <c r="Q47" s="85"/>
      <c r="T47" s="92"/>
      <c r="U47" s="92"/>
    </row>
    <row r="48" spans="1:23" x14ac:dyDescent="0.2">
      <c r="A48" s="83"/>
      <c r="F48" s="83"/>
      <c r="G48" s="83"/>
      <c r="K48" s="83"/>
      <c r="L48" s="90"/>
      <c r="M48" s="78"/>
      <c r="N48" s="83"/>
      <c r="O48" s="83"/>
      <c r="P48" s="78"/>
      <c r="Q48" s="78"/>
      <c r="R48" s="78"/>
      <c r="S48" s="85"/>
      <c r="T48" s="78"/>
      <c r="W48" s="80"/>
    </row>
    <row r="49" spans="1:23" x14ac:dyDescent="0.2">
      <c r="A49" s="83"/>
      <c r="F49" s="83"/>
      <c r="G49" s="83"/>
      <c r="K49" s="83"/>
      <c r="L49" s="90"/>
      <c r="M49" s="78"/>
      <c r="N49" s="83"/>
      <c r="O49" s="83"/>
      <c r="P49" s="78"/>
      <c r="Q49" s="78"/>
      <c r="R49" s="78"/>
      <c r="S49" s="85"/>
      <c r="T49" s="78"/>
      <c r="W49" s="80"/>
    </row>
    <row r="50" spans="1:23" x14ac:dyDescent="0.2">
      <c r="A50" s="83"/>
      <c r="F50" s="83"/>
      <c r="G50" s="83"/>
      <c r="K50" s="83"/>
      <c r="M50" s="79"/>
      <c r="N50" s="83"/>
      <c r="O50" s="83"/>
      <c r="P50" s="78"/>
      <c r="Q50" s="150"/>
      <c r="S50" s="85"/>
      <c r="T50" s="150"/>
    </row>
    <row r="51" spans="1:23" x14ac:dyDescent="0.2">
      <c r="A51" s="83"/>
      <c r="F51" s="83"/>
      <c r="G51" s="83"/>
      <c r="K51" s="83"/>
      <c r="M51" s="79"/>
      <c r="N51" s="83"/>
      <c r="O51" s="83"/>
      <c r="P51" s="78"/>
      <c r="Q51" s="150"/>
      <c r="S51" s="85"/>
      <c r="T51" s="150"/>
    </row>
    <row r="52" spans="1:23" x14ac:dyDescent="0.2">
      <c r="A52" s="83"/>
      <c r="F52" s="83"/>
      <c r="G52" s="83"/>
      <c r="K52" s="83"/>
      <c r="M52" s="78"/>
      <c r="N52" s="83"/>
      <c r="O52" s="83"/>
      <c r="P52" s="85"/>
      <c r="Q52" s="85"/>
      <c r="S52" s="85"/>
    </row>
    <row r="53" spans="1:23" x14ac:dyDescent="0.2">
      <c r="A53" s="83"/>
      <c r="F53" s="83"/>
      <c r="G53" s="83"/>
      <c r="K53" s="83"/>
      <c r="M53" s="85"/>
      <c r="N53" s="83"/>
      <c r="O53" s="83"/>
      <c r="P53" s="85"/>
      <c r="Q53" s="85"/>
      <c r="S53" s="85"/>
    </row>
    <row r="54" spans="1:23" x14ac:dyDescent="0.2">
      <c r="A54" s="83"/>
      <c r="F54" s="83"/>
      <c r="G54" s="83"/>
      <c r="K54" s="83"/>
      <c r="M54" s="85"/>
      <c r="N54" s="83"/>
      <c r="O54" s="83"/>
      <c r="P54" s="85"/>
      <c r="Q54" s="85"/>
      <c r="S54" s="85"/>
    </row>
    <row r="55" spans="1:23" x14ac:dyDescent="0.2">
      <c r="A55" s="83"/>
      <c r="F55" s="83"/>
      <c r="G55" s="83"/>
      <c r="K55" s="83"/>
      <c r="M55" s="79"/>
      <c r="N55" s="83"/>
      <c r="O55" s="83"/>
      <c r="P55" s="78"/>
      <c r="Q55" s="85"/>
      <c r="S55" s="85"/>
    </row>
    <row r="56" spans="1:23" x14ac:dyDescent="0.2">
      <c r="A56" s="83"/>
      <c r="F56" s="83"/>
      <c r="G56" s="83"/>
      <c r="K56" s="83"/>
      <c r="M56" s="79"/>
      <c r="N56" s="83"/>
      <c r="O56" s="83"/>
      <c r="P56" s="78"/>
      <c r="Q56" s="85"/>
      <c r="S56" s="85"/>
    </row>
    <row r="57" spans="1:23" x14ac:dyDescent="0.2">
      <c r="A57" s="83"/>
      <c r="F57" s="83"/>
      <c r="G57" s="83"/>
      <c r="K57" s="83"/>
      <c r="M57" s="79"/>
      <c r="N57" s="83"/>
      <c r="O57" s="83"/>
      <c r="P57" s="78"/>
      <c r="Q57" s="85"/>
      <c r="S57" s="85"/>
    </row>
    <row r="58" spans="1:23" x14ac:dyDescent="0.2">
      <c r="A58" s="83"/>
      <c r="F58" s="83"/>
      <c r="G58" s="83"/>
      <c r="K58" s="83"/>
      <c r="M58" s="79"/>
      <c r="N58" s="83"/>
      <c r="O58" s="83"/>
      <c r="P58" s="78"/>
      <c r="Q58" s="85"/>
      <c r="S58" s="85"/>
      <c r="U58" s="92"/>
    </row>
    <row r="59" spans="1:23" x14ac:dyDescent="0.2">
      <c r="A59" s="83"/>
      <c r="F59" s="83"/>
      <c r="G59" s="83"/>
      <c r="K59" s="83"/>
      <c r="M59" s="79"/>
      <c r="N59" s="83"/>
      <c r="O59" s="83"/>
      <c r="P59" s="78"/>
      <c r="Q59" s="85"/>
      <c r="R59" s="148"/>
      <c r="U59" s="92"/>
    </row>
    <row r="60" spans="1:23" x14ac:dyDescent="0.2">
      <c r="A60" s="83"/>
      <c r="F60" s="83"/>
      <c r="G60" s="83"/>
      <c r="K60" s="83"/>
      <c r="M60" s="79"/>
      <c r="N60" s="83"/>
      <c r="O60" s="83"/>
      <c r="P60" s="78"/>
      <c r="Q60" s="85"/>
      <c r="S60" s="85"/>
      <c r="U60" s="92"/>
    </row>
    <row r="61" spans="1:23" x14ac:dyDescent="0.2">
      <c r="A61" s="83"/>
      <c r="F61" s="83"/>
      <c r="G61" s="83"/>
      <c r="K61" s="83"/>
      <c r="M61" s="79"/>
      <c r="N61" s="83"/>
      <c r="O61" s="83"/>
      <c r="P61" s="78"/>
      <c r="Q61" s="85"/>
      <c r="S61" s="85"/>
      <c r="U61" s="151"/>
    </row>
    <row r="62" spans="1:23" x14ac:dyDescent="0.2">
      <c r="A62" s="83"/>
      <c r="F62" s="83"/>
      <c r="G62" s="83"/>
      <c r="K62" s="83"/>
      <c r="M62" s="79"/>
      <c r="N62" s="83"/>
      <c r="O62" s="83"/>
      <c r="P62" s="78"/>
      <c r="Q62" s="85"/>
      <c r="S62" s="85"/>
      <c r="U62" s="151"/>
    </row>
    <row r="63" spans="1:23" x14ac:dyDescent="0.2">
      <c r="A63" s="83"/>
      <c r="F63" s="83"/>
      <c r="G63" s="83"/>
      <c r="K63" s="83"/>
      <c r="M63" s="79"/>
      <c r="N63" s="83"/>
      <c r="O63" s="83"/>
      <c r="P63" s="78"/>
      <c r="Q63" s="85"/>
      <c r="S63" s="85"/>
      <c r="U63" s="151"/>
    </row>
    <row r="64" spans="1:23" x14ac:dyDescent="0.2">
      <c r="A64" s="83"/>
      <c r="F64" s="83"/>
      <c r="G64" s="83"/>
      <c r="K64" s="83"/>
      <c r="M64" s="83"/>
      <c r="N64" s="83"/>
      <c r="O64" s="83"/>
    </row>
    <row r="65" spans="1:21" x14ac:dyDescent="0.2">
      <c r="A65" s="83"/>
      <c r="F65" s="83"/>
      <c r="G65" s="83"/>
      <c r="K65" s="83"/>
      <c r="M65" s="79"/>
      <c r="N65" s="83"/>
      <c r="O65" s="83"/>
      <c r="P65" s="78"/>
      <c r="Q65" s="148"/>
      <c r="R65" s="148"/>
      <c r="S65" s="85"/>
      <c r="T65" s="92"/>
    </row>
    <row r="66" spans="1:21" x14ac:dyDescent="0.2">
      <c r="A66" s="83"/>
      <c r="F66" s="83"/>
      <c r="G66" s="83"/>
      <c r="K66" s="83"/>
      <c r="M66" s="79"/>
      <c r="N66" s="83"/>
      <c r="O66" s="83"/>
      <c r="P66" s="78"/>
      <c r="Q66" s="85"/>
      <c r="S66" s="85"/>
    </row>
    <row r="67" spans="1:21" x14ac:dyDescent="0.2">
      <c r="A67" s="83"/>
      <c r="F67" s="83"/>
      <c r="G67" s="83"/>
      <c r="K67" s="83"/>
      <c r="M67" s="79"/>
      <c r="N67" s="83"/>
      <c r="O67" s="83"/>
      <c r="P67" s="78"/>
      <c r="Q67" s="85"/>
      <c r="S67" s="85"/>
    </row>
    <row r="68" spans="1:21" x14ac:dyDescent="0.2">
      <c r="A68" s="83"/>
      <c r="B68" s="145"/>
      <c r="F68" s="83"/>
      <c r="G68" s="83"/>
      <c r="K68" s="83"/>
      <c r="M68" s="79"/>
      <c r="N68" s="83"/>
      <c r="O68" s="83"/>
    </row>
    <row r="69" spans="1:21" x14ac:dyDescent="0.2">
      <c r="A69" s="83"/>
      <c r="B69" s="145"/>
      <c r="F69" s="83"/>
      <c r="G69" s="83"/>
      <c r="K69" s="83"/>
      <c r="M69" s="79"/>
      <c r="N69" s="83"/>
      <c r="O69" s="83"/>
    </row>
    <row r="70" spans="1:21" x14ac:dyDescent="0.2">
      <c r="A70" s="83"/>
      <c r="F70" s="83"/>
      <c r="G70" s="83"/>
      <c r="K70" s="83"/>
      <c r="M70" s="78"/>
      <c r="N70" s="83"/>
      <c r="O70" s="83"/>
      <c r="P70" s="85"/>
      <c r="Q70" s="85"/>
      <c r="S70" s="85"/>
    </row>
    <row r="71" spans="1:21" x14ac:dyDescent="0.2">
      <c r="A71" s="83"/>
      <c r="F71" s="83"/>
      <c r="G71" s="83"/>
      <c r="K71" s="83"/>
      <c r="M71" s="79"/>
      <c r="N71" s="83"/>
      <c r="O71" s="83"/>
    </row>
    <row r="72" spans="1:21" x14ac:dyDescent="0.2">
      <c r="A72" s="83"/>
      <c r="B72" s="145"/>
      <c r="F72" s="83"/>
      <c r="G72" s="83"/>
      <c r="K72" s="83"/>
      <c r="M72" s="79"/>
      <c r="N72" s="83"/>
      <c r="O72" s="83"/>
    </row>
    <row r="73" spans="1:21" x14ac:dyDescent="0.2">
      <c r="A73" s="83"/>
      <c r="B73" s="145"/>
      <c r="F73" s="83"/>
      <c r="G73" s="83"/>
      <c r="K73" s="83"/>
      <c r="M73" s="79"/>
      <c r="N73" s="83"/>
      <c r="O73" s="83"/>
    </row>
    <row r="74" spans="1:21" x14ac:dyDescent="0.2">
      <c r="A74" s="83"/>
      <c r="B74" s="145"/>
      <c r="F74" s="83"/>
      <c r="G74" s="83"/>
      <c r="K74" s="83"/>
      <c r="M74" s="79"/>
      <c r="N74" s="83"/>
      <c r="O74" s="83"/>
    </row>
    <row r="75" spans="1:21" x14ac:dyDescent="0.2">
      <c r="A75" s="83"/>
      <c r="B75" s="145"/>
      <c r="F75" s="83"/>
      <c r="G75" s="83"/>
      <c r="K75" s="83"/>
      <c r="M75" s="79"/>
      <c r="N75" s="83"/>
      <c r="O75" s="83"/>
    </row>
    <row r="76" spans="1:21" x14ac:dyDescent="0.2">
      <c r="A76" s="83"/>
      <c r="F76" s="83"/>
      <c r="G76" s="83"/>
      <c r="K76" s="83"/>
      <c r="M76" s="83"/>
      <c r="N76" s="83"/>
      <c r="O76" s="83"/>
    </row>
    <row r="77" spans="1:21" x14ac:dyDescent="0.2">
      <c r="A77" s="83"/>
      <c r="F77" s="83"/>
      <c r="G77" s="83"/>
      <c r="K77" s="83"/>
      <c r="M77" s="79"/>
      <c r="N77" s="83"/>
      <c r="O77" s="83"/>
      <c r="P77" s="78"/>
      <c r="Q77" s="85"/>
      <c r="S77" s="85"/>
      <c r="U77" s="92"/>
    </row>
    <row r="78" spans="1:21" x14ac:dyDescent="0.2">
      <c r="A78" s="83"/>
      <c r="F78" s="83"/>
      <c r="G78" s="83"/>
      <c r="K78" s="83"/>
      <c r="M78" s="79"/>
      <c r="N78" s="83"/>
      <c r="O78" s="83"/>
      <c r="P78" s="78"/>
      <c r="Q78" s="85"/>
      <c r="S78" s="85"/>
      <c r="U78" s="92"/>
    </row>
    <row r="79" spans="1:21" x14ac:dyDescent="0.2">
      <c r="A79" s="83"/>
      <c r="F79" s="83"/>
      <c r="G79" s="83"/>
      <c r="K79" s="83"/>
      <c r="M79" s="79"/>
      <c r="N79" s="83"/>
      <c r="O79" s="83"/>
      <c r="P79" s="78"/>
      <c r="Q79" s="85"/>
      <c r="S79" s="85"/>
      <c r="U79" s="92"/>
    </row>
    <row r="80" spans="1:21" x14ac:dyDescent="0.2">
      <c r="A80" s="83"/>
      <c r="F80" s="83"/>
      <c r="G80" s="83"/>
      <c r="K80" s="83"/>
      <c r="M80" s="79"/>
      <c r="N80" s="83"/>
      <c r="O80" s="83"/>
      <c r="P80" s="78"/>
      <c r="Q80" s="85"/>
      <c r="S80" s="85"/>
      <c r="U80" s="92"/>
    </row>
    <row r="81" spans="1:21" x14ac:dyDescent="0.2">
      <c r="A81" s="83"/>
      <c r="F81" s="83"/>
      <c r="G81" s="83"/>
      <c r="K81" s="83"/>
      <c r="M81" s="79"/>
      <c r="N81" s="83"/>
      <c r="O81" s="83"/>
      <c r="P81" s="78"/>
      <c r="Q81" s="85"/>
      <c r="S81" s="85"/>
      <c r="U81" s="151"/>
    </row>
    <row r="82" spans="1:21" x14ac:dyDescent="0.2">
      <c r="A82" s="83"/>
      <c r="F82" s="83"/>
      <c r="G82" s="83"/>
      <c r="K82" s="83"/>
      <c r="M82" s="79"/>
      <c r="N82" s="83"/>
      <c r="O82" s="83"/>
      <c r="P82" s="78"/>
      <c r="Q82" s="85"/>
      <c r="S82" s="85"/>
      <c r="U82" s="151"/>
    </row>
    <row r="83" spans="1:21" x14ac:dyDescent="0.2">
      <c r="A83" s="83"/>
      <c r="F83" s="83"/>
      <c r="G83" s="83"/>
      <c r="K83" s="83"/>
      <c r="M83" s="79"/>
      <c r="N83" s="83"/>
      <c r="O83" s="83"/>
      <c r="P83" s="78"/>
      <c r="Q83" s="85"/>
      <c r="S83" s="85"/>
    </row>
    <row r="84" spans="1:21" x14ac:dyDescent="0.2">
      <c r="A84" s="83"/>
      <c r="F84" s="83"/>
      <c r="G84" s="83"/>
      <c r="K84" s="83"/>
      <c r="M84" s="79"/>
      <c r="N84" s="83"/>
      <c r="O84" s="83"/>
      <c r="P84" s="78"/>
      <c r="Q84" s="85"/>
      <c r="S84" s="85"/>
    </row>
    <row r="85" spans="1:21" x14ac:dyDescent="0.2">
      <c r="A85" s="83"/>
      <c r="F85" s="83"/>
      <c r="G85" s="83"/>
      <c r="K85" s="83"/>
      <c r="M85" s="83"/>
      <c r="N85" s="83"/>
      <c r="O85" s="83"/>
    </row>
    <row r="86" spans="1:21" x14ac:dyDescent="0.2">
      <c r="A86" s="83"/>
      <c r="F86" s="83"/>
      <c r="G86" s="83"/>
      <c r="K86" s="83"/>
      <c r="M86" s="83"/>
      <c r="N86" s="83"/>
      <c r="O86" s="83"/>
    </row>
  </sheetData>
  <hyperlinks>
    <hyperlink ref="T2" r:id="rId1" xr:uid="{00000000-0004-0000-0100-000001000000}"/>
    <hyperlink ref="V2" r:id="rId2" xr:uid="{00000000-0004-0000-0100-000002000000}"/>
    <hyperlink ref="T3" r:id="rId3" xr:uid="{00000000-0004-0000-0100-000004000000}"/>
    <hyperlink ref="V3" r:id="rId4" xr:uid="{00000000-0004-0000-0100-000005000000}"/>
    <hyperlink ref="T4" r:id="rId5" xr:uid="{00000000-0004-0000-0100-000007000000}"/>
    <hyperlink ref="V4" r:id="rId6" xr:uid="{00000000-0004-0000-0100-000008000000}"/>
    <hyperlink ref="T5" r:id="rId7" xr:uid="{00000000-0004-0000-0100-00000A000000}"/>
    <hyperlink ref="V5" r:id="rId8" xr:uid="{00000000-0004-0000-0100-00000B000000}"/>
    <hyperlink ref="T6" r:id="rId9" xr:uid="{00000000-0004-0000-0100-00000D000000}"/>
    <hyperlink ref="T7" r:id="rId10" xr:uid="{00000000-0004-0000-0100-00000F000000}"/>
    <hyperlink ref="T8" r:id="rId11" xr:uid="{00000000-0004-0000-0100-000011000000}"/>
    <hyperlink ref="P9" r:id="rId12" xr:uid="{00000000-0004-0000-0100-000013000000}"/>
    <hyperlink ref="T9" r:id="rId13" xr:uid="{00000000-0004-0000-0100-000014000000}"/>
    <hyperlink ref="P10" r:id="rId14" xr:uid="{00000000-0004-0000-0100-000016000000}"/>
    <hyperlink ref="T10" r:id="rId15" xr:uid="{00000000-0004-0000-0100-000017000000}"/>
    <hyperlink ref="T11" r:id="rId16" xr:uid="{00000000-0004-0000-0100-000019000000}"/>
    <hyperlink ref="T12" r:id="rId17" xr:uid="{00000000-0004-0000-0100-00001B000000}"/>
    <hyperlink ref="T13" r:id="rId18" xr:uid="{00000000-0004-0000-0100-00001D000000}"/>
    <hyperlink ref="T14" r:id="rId19" xr:uid="{00000000-0004-0000-0100-00001F000000}"/>
    <hyperlink ref="T15" r:id="rId20" xr:uid="{00000000-0004-0000-0100-000021000000}"/>
    <hyperlink ref="T16" r:id="rId21" xr:uid="{00000000-0004-0000-0100-000023000000}"/>
    <hyperlink ref="W16" r:id="rId22" xr:uid="{00000000-0004-0000-0100-000024000000}"/>
    <hyperlink ref="T17" r:id="rId23" xr:uid="{00000000-0004-0000-0100-000026000000}"/>
    <hyperlink ref="T18" r:id="rId24" xr:uid="{00000000-0004-0000-0100-000028000000}"/>
    <hyperlink ref="W18" r:id="rId25" xr:uid="{00000000-0004-0000-0100-000029000000}"/>
    <hyperlink ref="T19" r:id="rId26" xr:uid="{00000000-0004-0000-0100-00002B000000}"/>
    <hyperlink ref="V19" r:id="rId27" xr:uid="{00000000-0004-0000-0100-00002C000000}"/>
    <hyperlink ref="T20" r:id="rId28" xr:uid="{00000000-0004-0000-0100-00002D000000}"/>
    <hyperlink ref="V20" r:id="rId29" xr:uid="{00000000-0004-0000-0100-00002E000000}"/>
    <hyperlink ref="T21" r:id="rId30" xr:uid="{00000000-0004-0000-0100-00002F000000}"/>
    <hyperlink ref="V21" r:id="rId31" xr:uid="{00000000-0004-0000-0100-000030000000}"/>
    <hyperlink ref="T22" r:id="rId32" xr:uid="{00000000-0004-0000-0100-000031000000}"/>
    <hyperlink ref="V22" r:id="rId33" xr:uid="{00000000-0004-0000-0100-000032000000}"/>
    <hyperlink ref="T23" r:id="rId34" xr:uid="{00000000-0004-0000-0100-000034000000}"/>
    <hyperlink ref="V23" r:id="rId35" xr:uid="{00000000-0004-0000-0100-000035000000}"/>
    <hyperlink ref="T24" r:id="rId36" xr:uid="{00000000-0004-0000-0100-000037000000}"/>
    <hyperlink ref="V24" r:id="rId37" xr:uid="{00000000-0004-0000-0100-000038000000}"/>
    <hyperlink ref="W24" r:id="rId38" xr:uid="{00000000-0004-0000-0100-000039000000}"/>
    <hyperlink ref="T25" r:id="rId39" xr:uid="{00000000-0004-0000-0100-00003B000000}"/>
    <hyperlink ref="V25" r:id="rId40" xr:uid="{00000000-0004-0000-0100-00003C000000}"/>
    <hyperlink ref="W25" r:id="rId41" xr:uid="{00000000-0004-0000-0100-00003D000000}"/>
    <hyperlink ref="T26" r:id="rId42" display="https://www.ncbi.nlm.nih.gov/bioproject/PRJNA800207" xr:uid="{D95BCB07-DCCC-4B0A-BD23-0514A40DDC46}"/>
    <hyperlink ref="V26" r:id="rId43" display="https://www.ncbi.nlm.nih.gov/datasets/genome/GCA_022814895.1/" xr:uid="{A1BBF4BD-3E80-4E70-86CB-9FC2B1264B24}"/>
    <hyperlink ref="T27" r:id="rId44" display="https://www.ncbi.nlm.nih.gov/bioproject/PRJEB49416" xr:uid="{D8ACA7C3-11C3-4BCC-938E-EF85AAD0D911}"/>
    <hyperlink ref="N2" r:id="rId45" xr:uid="{FED8EA82-AEBE-4833-B744-2B633B9AF3E8}"/>
    <hyperlink ref="N3" r:id="rId46" xr:uid="{C2CF88A1-AC7F-4321-97E5-ABE5454F0914}"/>
    <hyperlink ref="N4" r:id="rId47" xr:uid="{CD7A2F16-1E0E-4F19-87BC-D23F3E4A980B}"/>
    <hyperlink ref="N5" r:id="rId48" xr:uid="{54A44D54-E9AC-4250-9B64-647094EFD5D6}"/>
    <hyperlink ref="N6" r:id="rId49" xr:uid="{510B556D-62A6-4119-AA7E-FCA39E2F5FB9}"/>
    <hyperlink ref="N7" r:id="rId50" xr:uid="{4D3417EB-BAD6-4A77-85D2-0C30835F3CB1}"/>
    <hyperlink ref="N8" r:id="rId51" xr:uid="{9200CAB9-EC88-4BAE-A1A4-8C6D146EC22E}"/>
    <hyperlink ref="N9" r:id="rId52" xr:uid="{5F9DEC4B-9F66-49E5-8E03-3F594FE9B2AD}"/>
    <hyperlink ref="N10" r:id="rId53" xr:uid="{E48BF8EE-1DA1-450A-9D0B-B800C6A16CB6}"/>
    <hyperlink ref="N11" r:id="rId54" xr:uid="{670D14C6-33F4-4705-912E-02B91B60D536}"/>
    <hyperlink ref="N12" r:id="rId55" xr:uid="{E6956656-8260-444F-8C5C-61F5729D7249}"/>
    <hyperlink ref="N13" r:id="rId56" xr:uid="{78CA644E-FA56-474C-A135-772E2106AB2A}"/>
    <hyperlink ref="N14" r:id="rId57" xr:uid="{5506267F-530A-451C-99F6-5D8F6B8BEECD}"/>
    <hyperlink ref="N15" r:id="rId58" xr:uid="{1C63E9C6-ED14-4B11-BBF9-8CB40E3D9FA2}"/>
    <hyperlink ref="N16" r:id="rId59" xr:uid="{36B4AD53-6B11-48FA-A210-6FC776F48045}"/>
    <hyperlink ref="N17" r:id="rId60" xr:uid="{C3D6D23F-2EDE-4565-89CE-98C6DCAEA7B8}"/>
    <hyperlink ref="N18" r:id="rId61" xr:uid="{3F6A6BB8-741E-4F17-815A-D87969291CC3}"/>
    <hyperlink ref="N19" r:id="rId62" xr:uid="{45FC8DF5-875C-4F83-BD3F-51C25C5B2263}"/>
    <hyperlink ref="N23" r:id="rId63" xr:uid="{F72AEA29-B555-4343-95D8-AE14A184EABB}"/>
    <hyperlink ref="N24" r:id="rId64" xr:uid="{0E9AB9EA-294C-463A-972E-62EA2FC57A16}"/>
    <hyperlink ref="N25" r:id="rId65" xr:uid="{45A529CB-68FE-4693-A6E6-00882DF8C4CF}"/>
    <hyperlink ref="N26" r:id="rId66" display="https://www.ncbi.nlm.nih.gov/biosample/SAMN25235950" xr:uid="{2502273E-ED08-4EAD-B4B4-8B553A5FB3BF}"/>
    <hyperlink ref="N27" r:id="rId67" display="https://www.ncbi.nlm.nih.gov/biosample/SAMEA12738679" xr:uid="{E7DC2582-5699-4008-900E-8A2987551D8E}"/>
    <hyperlink ref="V27" r:id="rId68" display="https://www.ncbi.nlm.nih.gov/datasets/genome/GCA_934870175.1/" xr:uid="{EC02FEEF-C8D9-481A-B317-C610CAEF6021}"/>
    <hyperlink ref="N28" r:id="rId69" display="https://www.ncbi.nlm.nih.gov/biosample/SAMD00231155" xr:uid="{C80ADE68-09CD-4C75-82E4-8CB468E402CB}"/>
    <hyperlink ref="T28" r:id="rId70" display="https://www.ncbi.nlm.nih.gov/bioproject/PRJDB10007" xr:uid="{BEC9AAB0-D76E-455D-8788-D1771DD19E03}"/>
    <hyperlink ref="F10" r:id="rId71" xr:uid="{D66B36A7-8294-4350-92EF-E043EFA4B1A2}"/>
  </hyperlinks>
  <pageMargins left="0.7" right="0.7" top="0.75" bottom="0.75" header="0.511811023622047" footer="0.511811023622047"/>
  <pageSetup paperSize="9" orientation="portrait" horizontalDpi="300" verticalDpi="300" r:id="rId7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889D-E985-4D09-8543-A77DFC446FB2}">
  <dimension ref="A1:AP34"/>
  <sheetViews>
    <sheetView topLeftCell="Z1" zoomScale="85" zoomScaleNormal="85" workbookViewId="0">
      <selection activeCell="AP15" sqref="AP15"/>
    </sheetView>
  </sheetViews>
  <sheetFormatPr baseColWidth="10" defaultRowHeight="15" x14ac:dyDescent="0.25"/>
  <cols>
    <col min="1" max="1" width="3.7109375" bestFit="1" customWidth="1"/>
    <col min="2" max="2" width="34.85546875" bestFit="1" customWidth="1"/>
    <col min="3" max="3" width="27.140625" bestFit="1" customWidth="1"/>
    <col min="4" max="4" width="18.42578125" bestFit="1" customWidth="1"/>
    <col min="5" max="5" width="10.7109375" bestFit="1" customWidth="1"/>
    <col min="6" max="6" width="11.28515625" bestFit="1" customWidth="1"/>
    <col min="7" max="7" width="13.5703125" bestFit="1" customWidth="1"/>
    <col min="8" max="8" width="20.140625" bestFit="1" customWidth="1"/>
    <col min="9" max="9" width="6.85546875" bestFit="1" customWidth="1"/>
    <col min="10" max="10" width="8.85546875" bestFit="1" customWidth="1"/>
    <col min="11" max="11" width="4.7109375" customWidth="1"/>
    <col min="12" max="12" width="2.85546875" customWidth="1"/>
    <col min="13" max="13" width="4.28515625" bestFit="1" customWidth="1"/>
    <col min="14" max="14" width="23.140625" bestFit="1" customWidth="1"/>
    <col min="17" max="17" width="21.140625" bestFit="1" customWidth="1"/>
    <col min="18" max="18" width="16.42578125" customWidth="1"/>
    <col min="19" max="19" width="9.140625" customWidth="1"/>
    <col min="20" max="20" width="16.28515625" customWidth="1"/>
    <col min="21" max="21" width="19" bestFit="1" customWidth="1"/>
    <col min="22" max="22" width="0" hidden="1" customWidth="1"/>
    <col min="23" max="23" width="17.28515625" hidden="1" customWidth="1"/>
    <col min="24" max="24" width="14.85546875" customWidth="1"/>
    <col min="25" max="25" width="2.85546875" hidden="1" customWidth="1"/>
    <col min="26" max="26" width="17" customWidth="1"/>
    <col min="27" max="27" width="15.42578125" hidden="1" customWidth="1"/>
    <col min="28" max="28" width="11.28515625" customWidth="1"/>
    <col min="29" max="29" width="19.85546875" style="2" customWidth="1"/>
    <col min="30" max="30" width="12.85546875" style="6" bestFit="1" customWidth="1"/>
    <col min="31" max="31" width="11.140625" style="6" bestFit="1" customWidth="1"/>
    <col min="32" max="32" width="11.42578125" style="6"/>
    <col min="33" max="33" width="23.42578125" bestFit="1" customWidth="1"/>
    <col min="34" max="35" width="11.140625" bestFit="1" customWidth="1"/>
    <col min="36" max="36" width="16.5703125" style="6" customWidth="1"/>
    <col min="37" max="37" width="14.42578125" style="32" bestFit="1" customWidth="1"/>
    <col min="38" max="38" width="5.28515625" bestFit="1" customWidth="1"/>
    <col min="39" max="39" width="12.7109375" bestFit="1" customWidth="1"/>
    <col min="40" max="40" width="11.42578125" style="32" customWidth="1"/>
    <col min="41" max="41" width="0" hidden="1" customWidth="1"/>
  </cols>
  <sheetData>
    <row r="1" spans="1:42" s="155" customFormat="1" x14ac:dyDescent="0.25">
      <c r="A1" s="169" t="s">
        <v>347</v>
      </c>
      <c r="B1" s="170"/>
      <c r="C1" s="170"/>
      <c r="D1" s="170"/>
      <c r="E1" s="170"/>
      <c r="F1" s="170"/>
      <c r="G1" s="170"/>
      <c r="H1" s="170"/>
      <c r="I1" s="170"/>
      <c r="J1" s="170"/>
      <c r="K1" s="170"/>
      <c r="L1" s="170"/>
      <c r="M1" s="170"/>
      <c r="N1" s="170"/>
      <c r="O1" s="170"/>
      <c r="P1" s="170"/>
      <c r="Q1" s="170"/>
      <c r="R1" s="170"/>
      <c r="S1" s="170"/>
      <c r="T1" s="170"/>
      <c r="U1" s="170"/>
      <c r="V1" s="170"/>
      <c r="W1" s="171"/>
      <c r="X1" s="167" t="s">
        <v>346</v>
      </c>
      <c r="Y1" s="168"/>
      <c r="Z1" s="168"/>
      <c r="AA1" s="172"/>
      <c r="AB1" s="167" t="s">
        <v>352</v>
      </c>
      <c r="AC1" s="168"/>
      <c r="AD1" s="168"/>
      <c r="AE1" s="168"/>
      <c r="AF1" s="168"/>
      <c r="AG1" s="168"/>
      <c r="AH1" s="168"/>
      <c r="AI1" s="168"/>
      <c r="AJ1" s="168"/>
      <c r="AK1" s="152"/>
      <c r="AL1" s="167" t="s">
        <v>361</v>
      </c>
      <c r="AM1" s="168"/>
      <c r="AN1" s="168"/>
      <c r="AO1" s="168"/>
      <c r="AP1" s="168"/>
    </row>
    <row r="2" spans="1:42" s="40" customFormat="1" x14ac:dyDescent="0.25">
      <c r="A2" s="103" t="s">
        <v>0</v>
      </c>
      <c r="B2" s="103" t="s">
        <v>1</v>
      </c>
      <c r="C2" s="103" t="s">
        <v>2</v>
      </c>
      <c r="D2" s="103" t="s">
        <v>180</v>
      </c>
      <c r="E2" s="103" t="s">
        <v>181</v>
      </c>
      <c r="F2" s="103" t="s">
        <v>3</v>
      </c>
      <c r="G2" s="103" t="s">
        <v>4</v>
      </c>
      <c r="H2" s="103" t="s">
        <v>6</v>
      </c>
      <c r="I2" s="103" t="s">
        <v>7</v>
      </c>
      <c r="J2" s="103" t="s">
        <v>8</v>
      </c>
      <c r="K2" s="103" t="s">
        <v>10</v>
      </c>
      <c r="L2" s="103" t="s">
        <v>12</v>
      </c>
      <c r="M2" s="103" t="s">
        <v>182</v>
      </c>
      <c r="N2" s="103" t="s">
        <v>184</v>
      </c>
      <c r="O2" s="103" t="s">
        <v>185</v>
      </c>
      <c r="P2" s="103" t="s">
        <v>186</v>
      </c>
      <c r="Q2" s="103" t="s">
        <v>187</v>
      </c>
      <c r="R2" s="103" t="s">
        <v>188</v>
      </c>
      <c r="S2" s="127" t="s">
        <v>189</v>
      </c>
      <c r="T2" s="103" t="s">
        <v>190</v>
      </c>
      <c r="U2" s="103" t="s">
        <v>191</v>
      </c>
      <c r="V2" s="153" t="s">
        <v>192</v>
      </c>
      <c r="W2" s="153" t="s">
        <v>193</v>
      </c>
      <c r="X2" s="110" t="s">
        <v>348</v>
      </c>
      <c r="Y2" s="103" t="s">
        <v>339</v>
      </c>
      <c r="Z2" s="103" t="s">
        <v>338</v>
      </c>
      <c r="AA2" s="154" t="s">
        <v>349</v>
      </c>
      <c r="AB2" s="110" t="s">
        <v>345</v>
      </c>
      <c r="AC2" s="163" t="s">
        <v>360</v>
      </c>
      <c r="AD2" s="103" t="s">
        <v>295</v>
      </c>
      <c r="AE2" s="103" t="s">
        <v>296</v>
      </c>
      <c r="AF2" s="103" t="s">
        <v>297</v>
      </c>
      <c r="AG2" s="103" t="s">
        <v>298</v>
      </c>
      <c r="AH2" s="103" t="s">
        <v>299</v>
      </c>
      <c r="AI2" s="103" t="s">
        <v>300</v>
      </c>
      <c r="AJ2" s="153" t="s">
        <v>302</v>
      </c>
      <c r="AK2" s="103" t="s">
        <v>10</v>
      </c>
      <c r="AL2" s="110" t="s">
        <v>303</v>
      </c>
      <c r="AM2" s="103" t="s">
        <v>348</v>
      </c>
      <c r="AN2" s="103" t="s">
        <v>338</v>
      </c>
      <c r="AO2" s="103" t="s">
        <v>339</v>
      </c>
      <c r="AP2" s="103" t="s">
        <v>305</v>
      </c>
    </row>
    <row r="3" spans="1:42" s="44" customFormat="1" x14ac:dyDescent="0.25">
      <c r="A3" s="60" t="s">
        <v>13</v>
      </c>
      <c r="B3" s="100" t="str">
        <f t="shared" ref="B3:B28" si="0">_xlfn.CONCAT(C3,"_",E3)</f>
        <v>Drosophila_ananassae_cHI</v>
      </c>
      <c r="C3" s="113" t="s">
        <v>82</v>
      </c>
      <c r="D3" s="79" t="s">
        <v>195</v>
      </c>
      <c r="E3" s="86" t="s">
        <v>196</v>
      </c>
      <c r="F3" s="60" t="s">
        <v>15</v>
      </c>
      <c r="G3" s="60" t="s">
        <v>83</v>
      </c>
      <c r="H3" s="114" t="s">
        <v>86</v>
      </c>
      <c r="I3" s="115">
        <v>902</v>
      </c>
      <c r="J3" s="60" t="s">
        <v>87</v>
      </c>
      <c r="K3" s="60" t="s">
        <v>29</v>
      </c>
      <c r="L3" s="60">
        <v>1</v>
      </c>
      <c r="M3" s="116" t="s">
        <v>197</v>
      </c>
      <c r="N3" s="114" t="s">
        <v>86</v>
      </c>
      <c r="O3" s="60">
        <v>487595</v>
      </c>
      <c r="P3" s="60">
        <v>490300</v>
      </c>
      <c r="Q3" s="60" t="str">
        <f>_xlfn.CONCAT(O3,"..",P3)</f>
        <v>487595..490300</v>
      </c>
      <c r="R3" s="79" t="s">
        <v>199</v>
      </c>
      <c r="S3" s="91" t="s">
        <v>200</v>
      </c>
      <c r="T3" s="92" t="s">
        <v>201</v>
      </c>
      <c r="U3" s="91" t="s">
        <v>202</v>
      </c>
      <c r="V3" s="60" t="s">
        <v>203</v>
      </c>
      <c r="W3" s="119" t="s">
        <v>340</v>
      </c>
      <c r="X3" s="112">
        <v>1</v>
      </c>
      <c r="Y3" s="60">
        <v>0</v>
      </c>
      <c r="Z3" s="60">
        <v>0</v>
      </c>
      <c r="AA3" s="107">
        <v>0</v>
      </c>
      <c r="AB3" s="110" t="s">
        <v>226</v>
      </c>
      <c r="AC3" s="127" t="s">
        <v>359</v>
      </c>
      <c r="AD3" s="125">
        <v>1</v>
      </c>
      <c r="AE3" s="126">
        <v>8.9999999999999994E-117</v>
      </c>
      <c r="AF3" s="103" t="s">
        <v>358</v>
      </c>
      <c r="AG3" s="103" t="s">
        <v>86</v>
      </c>
      <c r="AH3" s="103">
        <v>486665</v>
      </c>
      <c r="AI3" s="103">
        <v>487276</v>
      </c>
      <c r="AJ3" s="103" t="s">
        <v>311</v>
      </c>
      <c r="AK3" s="60" t="s">
        <v>29</v>
      </c>
      <c r="AL3" s="110">
        <v>1</v>
      </c>
      <c r="AM3" s="60">
        <v>1</v>
      </c>
      <c r="AN3" s="60">
        <v>1</v>
      </c>
      <c r="AO3" s="60" t="s">
        <v>334</v>
      </c>
      <c r="AP3" s="91" t="s">
        <v>376</v>
      </c>
    </row>
    <row r="4" spans="1:42" s="44" customFormat="1" x14ac:dyDescent="0.25">
      <c r="A4" s="60" t="s">
        <v>13</v>
      </c>
      <c r="B4" s="91" t="str">
        <f t="shared" si="0"/>
        <v>Drosophila_ananassae_cHI</v>
      </c>
      <c r="C4" s="113" t="s">
        <v>82</v>
      </c>
      <c r="D4" s="79" t="s">
        <v>195</v>
      </c>
      <c r="E4" s="86" t="s">
        <v>196</v>
      </c>
      <c r="F4" s="60" t="s">
        <v>15</v>
      </c>
      <c r="G4" s="60" t="s">
        <v>83</v>
      </c>
      <c r="H4" s="114" t="s">
        <v>88</v>
      </c>
      <c r="I4" s="115">
        <v>902</v>
      </c>
      <c r="J4" s="60" t="s">
        <v>87</v>
      </c>
      <c r="K4" s="60" t="s">
        <v>29</v>
      </c>
      <c r="L4" s="60">
        <v>1</v>
      </c>
      <c r="M4" s="116" t="s">
        <v>197</v>
      </c>
      <c r="N4" s="114" t="s">
        <v>88</v>
      </c>
      <c r="O4" s="60">
        <v>368026</v>
      </c>
      <c r="P4" s="60">
        <v>370731</v>
      </c>
      <c r="Q4" s="60" t="str">
        <f t="shared" ref="Q4:Q25" si="1">_xlfn.CONCAT(O4,"..",P4)</f>
        <v>368026..370731</v>
      </c>
      <c r="R4" s="79" t="s">
        <v>199</v>
      </c>
      <c r="S4" s="91" t="s">
        <v>200</v>
      </c>
      <c r="T4" s="92" t="s">
        <v>201</v>
      </c>
      <c r="U4" s="91" t="s">
        <v>202</v>
      </c>
      <c r="V4" s="60" t="s">
        <v>203</v>
      </c>
      <c r="W4" s="119" t="s">
        <v>340</v>
      </c>
      <c r="X4" s="112">
        <v>1</v>
      </c>
      <c r="Y4" s="60">
        <v>0</v>
      </c>
      <c r="Z4" s="60">
        <v>0</v>
      </c>
      <c r="AA4" s="107">
        <v>0</v>
      </c>
      <c r="AB4" s="110" t="s">
        <v>226</v>
      </c>
      <c r="AC4" s="127" t="s">
        <v>359</v>
      </c>
      <c r="AD4" s="125">
        <v>1</v>
      </c>
      <c r="AE4" s="126">
        <v>4.0000000000000001E-117</v>
      </c>
      <c r="AF4" s="103" t="s">
        <v>358</v>
      </c>
      <c r="AG4" s="114" t="s">
        <v>88</v>
      </c>
      <c r="AH4" s="103">
        <v>371050</v>
      </c>
      <c r="AI4" s="103">
        <v>371661</v>
      </c>
      <c r="AJ4" s="103" t="s">
        <v>311</v>
      </c>
      <c r="AK4" s="60" t="s">
        <v>29</v>
      </c>
      <c r="AL4" s="110">
        <v>1</v>
      </c>
      <c r="AM4" s="60">
        <v>1</v>
      </c>
      <c r="AN4" s="60">
        <v>1</v>
      </c>
      <c r="AO4" s="60"/>
      <c r="AP4" s="91" t="s">
        <v>376</v>
      </c>
    </row>
    <row r="5" spans="1:42" s="44" customFormat="1" x14ac:dyDescent="0.25">
      <c r="A5" s="60" t="s">
        <v>13</v>
      </c>
      <c r="B5" s="91" t="str">
        <f t="shared" si="0"/>
        <v>Drosophila_ananassae_cHI</v>
      </c>
      <c r="C5" s="113" t="s">
        <v>82</v>
      </c>
      <c r="D5" s="79" t="s">
        <v>195</v>
      </c>
      <c r="E5" s="86" t="s">
        <v>196</v>
      </c>
      <c r="F5" s="60" t="s">
        <v>15</v>
      </c>
      <c r="G5" s="60" t="s">
        <v>83</v>
      </c>
      <c r="H5" s="114" t="s">
        <v>89</v>
      </c>
      <c r="I5" s="115">
        <v>754</v>
      </c>
      <c r="J5" s="60" t="s">
        <v>87</v>
      </c>
      <c r="K5" s="60" t="s">
        <v>29</v>
      </c>
      <c r="L5" s="60">
        <v>1</v>
      </c>
      <c r="M5" s="117" t="s">
        <v>204</v>
      </c>
      <c r="N5" s="114" t="s">
        <v>89</v>
      </c>
      <c r="O5" s="60">
        <v>1065918</v>
      </c>
      <c r="P5" s="60">
        <v>1068179</v>
      </c>
      <c r="Q5" s="60" t="str">
        <f t="shared" si="1"/>
        <v>1065918..1068179</v>
      </c>
      <c r="R5" s="79" t="s">
        <v>199</v>
      </c>
      <c r="S5" s="91" t="s">
        <v>200</v>
      </c>
      <c r="T5" s="92" t="s">
        <v>201</v>
      </c>
      <c r="U5" s="91" t="s">
        <v>202</v>
      </c>
      <c r="V5" s="60" t="s">
        <v>203</v>
      </c>
      <c r="W5" s="119" t="s">
        <v>340</v>
      </c>
      <c r="X5" s="112">
        <v>1</v>
      </c>
      <c r="Y5" s="60">
        <v>1</v>
      </c>
      <c r="Z5" s="60">
        <v>0</v>
      </c>
      <c r="AA5" s="107">
        <v>0</v>
      </c>
      <c r="AB5" s="110" t="s">
        <v>226</v>
      </c>
      <c r="AC5" s="127" t="s">
        <v>362</v>
      </c>
      <c r="AD5" s="125">
        <v>1</v>
      </c>
      <c r="AE5" s="126">
        <v>4.9999999999999999E-114</v>
      </c>
      <c r="AF5" s="103" t="s">
        <v>363</v>
      </c>
      <c r="AG5" s="103" t="s">
        <v>89</v>
      </c>
      <c r="AH5" s="103">
        <v>1065108</v>
      </c>
      <c r="AI5" s="103">
        <v>1065704</v>
      </c>
      <c r="AJ5" s="103" t="s">
        <v>311</v>
      </c>
      <c r="AK5" s="60" t="s">
        <v>29</v>
      </c>
      <c r="AL5" s="110">
        <v>1</v>
      </c>
      <c r="AM5" s="60">
        <v>1</v>
      </c>
      <c r="AN5" s="60">
        <v>1</v>
      </c>
      <c r="AO5" s="60">
        <v>1</v>
      </c>
      <c r="AP5" s="91" t="s">
        <v>377</v>
      </c>
    </row>
    <row r="6" spans="1:42" s="44" customFormat="1" x14ac:dyDescent="0.25">
      <c r="A6" s="60" t="s">
        <v>13</v>
      </c>
      <c r="B6" s="91" t="str">
        <f t="shared" si="0"/>
        <v>Drosophila_ananassae_cHI</v>
      </c>
      <c r="C6" s="113" t="s">
        <v>82</v>
      </c>
      <c r="D6" s="79" t="s">
        <v>195</v>
      </c>
      <c r="E6" s="86" t="s">
        <v>196</v>
      </c>
      <c r="F6" s="60" t="s">
        <v>15</v>
      </c>
      <c r="G6" s="60" t="s">
        <v>83</v>
      </c>
      <c r="H6" s="114" t="s">
        <v>90</v>
      </c>
      <c r="I6" s="115">
        <v>754</v>
      </c>
      <c r="J6" s="60" t="s">
        <v>87</v>
      </c>
      <c r="K6" s="60" t="s">
        <v>29</v>
      </c>
      <c r="L6" s="60">
        <v>1</v>
      </c>
      <c r="M6" s="117" t="s">
        <v>204</v>
      </c>
      <c r="N6" s="114" t="s">
        <v>90</v>
      </c>
      <c r="O6" s="60">
        <v>514323</v>
      </c>
      <c r="P6" s="60">
        <v>516584</v>
      </c>
      <c r="Q6" s="60" t="str">
        <f t="shared" si="1"/>
        <v>514323..516584</v>
      </c>
      <c r="R6" s="79" t="s">
        <v>199</v>
      </c>
      <c r="S6" s="91" t="s">
        <v>200</v>
      </c>
      <c r="T6" s="92" t="s">
        <v>201</v>
      </c>
      <c r="U6" s="91" t="s">
        <v>202</v>
      </c>
      <c r="V6" s="60" t="s">
        <v>203</v>
      </c>
      <c r="W6" s="119" t="s">
        <v>340</v>
      </c>
      <c r="X6" s="112">
        <v>1</v>
      </c>
      <c r="Y6" s="60">
        <v>1</v>
      </c>
      <c r="Z6" s="60">
        <v>0</v>
      </c>
      <c r="AA6" s="107">
        <v>0</v>
      </c>
      <c r="AB6" s="110" t="s">
        <v>226</v>
      </c>
      <c r="AC6" s="127" t="s">
        <v>362</v>
      </c>
      <c r="AD6" s="125">
        <v>1</v>
      </c>
      <c r="AE6" s="126">
        <v>2.0000000000000001E-115</v>
      </c>
      <c r="AF6" s="103" t="s">
        <v>364</v>
      </c>
      <c r="AG6" s="103" t="s">
        <v>90</v>
      </c>
      <c r="AH6" s="103">
        <v>513513</v>
      </c>
      <c r="AI6" s="103">
        <v>514109</v>
      </c>
      <c r="AJ6" s="103" t="s">
        <v>311</v>
      </c>
      <c r="AK6" s="60" t="s">
        <v>29</v>
      </c>
      <c r="AL6" s="110">
        <v>0</v>
      </c>
      <c r="AM6" s="60">
        <v>1</v>
      </c>
      <c r="AN6" s="60">
        <v>1</v>
      </c>
      <c r="AO6" s="60">
        <v>1</v>
      </c>
      <c r="AP6" s="91" t="s">
        <v>621</v>
      </c>
    </row>
    <row r="7" spans="1:42" s="44" customFormat="1" x14ac:dyDescent="0.25">
      <c r="A7" s="60" t="s">
        <v>13</v>
      </c>
      <c r="B7" s="91" t="str">
        <f>_xlfn.CONCAT(C7,"_",E7)</f>
        <v>Amblyptilia_punctidactyla_ilAmb</v>
      </c>
      <c r="C7" s="100" t="s">
        <v>24</v>
      </c>
      <c r="D7" s="79" t="s">
        <v>205</v>
      </c>
      <c r="E7" s="86" t="s">
        <v>206</v>
      </c>
      <c r="F7" s="60" t="s">
        <v>15</v>
      </c>
      <c r="G7" s="60" t="s">
        <v>25</v>
      </c>
      <c r="H7" s="60" t="s">
        <v>26</v>
      </c>
      <c r="I7" s="60">
        <v>733</v>
      </c>
      <c r="J7" s="60" t="s">
        <v>27</v>
      </c>
      <c r="K7" s="60" t="s">
        <v>29</v>
      </c>
      <c r="L7" s="60">
        <v>1</v>
      </c>
      <c r="M7" s="118" t="s">
        <v>207</v>
      </c>
      <c r="N7" s="60" t="s">
        <v>26</v>
      </c>
      <c r="O7" s="90">
        <v>13706683</v>
      </c>
      <c r="P7" s="90">
        <v>13708893</v>
      </c>
      <c r="Q7" s="60" t="str">
        <f t="shared" si="1"/>
        <v>13706683..13708893</v>
      </c>
      <c r="R7" s="79" t="s">
        <v>209</v>
      </c>
      <c r="S7" s="86"/>
      <c r="T7" s="92" t="s">
        <v>210</v>
      </c>
      <c r="U7" s="91" t="s">
        <v>211</v>
      </c>
      <c r="V7" s="90" t="s">
        <v>203</v>
      </c>
      <c r="W7" s="100" t="s">
        <v>341</v>
      </c>
      <c r="X7" s="112">
        <v>0</v>
      </c>
      <c r="Y7" s="60" t="s">
        <v>311</v>
      </c>
      <c r="Z7" s="60" t="s">
        <v>311</v>
      </c>
      <c r="AA7" s="107" t="s">
        <v>311</v>
      </c>
      <c r="AB7" s="110" t="s">
        <v>190</v>
      </c>
      <c r="AC7" s="86" t="s">
        <v>350</v>
      </c>
      <c r="AD7" s="104">
        <v>0.98</v>
      </c>
      <c r="AE7" s="105">
        <v>2E-91</v>
      </c>
      <c r="AF7" s="106" t="s">
        <v>309</v>
      </c>
      <c r="AG7" s="60" t="s">
        <v>26</v>
      </c>
      <c r="AH7" s="60">
        <v>13709097</v>
      </c>
      <c r="AI7" s="60">
        <v>13709653</v>
      </c>
      <c r="AJ7" s="60" t="s">
        <v>311</v>
      </c>
      <c r="AK7" s="60" t="s">
        <v>29</v>
      </c>
      <c r="AL7" s="112">
        <v>1</v>
      </c>
      <c r="AM7" s="60">
        <v>1</v>
      </c>
      <c r="AN7" s="60">
        <v>1</v>
      </c>
      <c r="AO7" s="60" t="s">
        <v>334</v>
      </c>
      <c r="AP7" s="91"/>
    </row>
    <row r="8" spans="1:42" s="44" customFormat="1" x14ac:dyDescent="0.25">
      <c r="A8" s="60" t="s">
        <v>13</v>
      </c>
      <c r="B8" s="91" t="str">
        <f>_xlfn.CONCAT(C8,"_",E8)</f>
        <v>Timema_californicum_T76</v>
      </c>
      <c r="C8" s="100" t="s">
        <v>159</v>
      </c>
      <c r="D8" s="79" t="s">
        <v>212</v>
      </c>
      <c r="E8" s="86" t="s">
        <v>213</v>
      </c>
      <c r="F8" s="60" t="s">
        <v>15</v>
      </c>
      <c r="G8" s="60" t="s">
        <v>160</v>
      </c>
      <c r="H8" s="60" t="s">
        <v>161</v>
      </c>
      <c r="I8" s="115">
        <v>755</v>
      </c>
      <c r="J8" s="60" t="s">
        <v>27</v>
      </c>
      <c r="K8" s="60" t="s">
        <v>29</v>
      </c>
      <c r="L8" s="60">
        <v>1</v>
      </c>
      <c r="M8" s="118" t="s">
        <v>207</v>
      </c>
      <c r="N8" s="60" t="s">
        <v>161</v>
      </c>
      <c r="O8" s="60">
        <v>1824</v>
      </c>
      <c r="P8" s="60">
        <v>4088</v>
      </c>
      <c r="Q8" s="60" t="str">
        <f t="shared" si="1"/>
        <v>1824..4088</v>
      </c>
      <c r="R8" s="79" t="s">
        <v>215</v>
      </c>
      <c r="S8" s="86" t="s">
        <v>216</v>
      </c>
      <c r="T8" s="86"/>
      <c r="U8" s="86"/>
      <c r="V8" s="60"/>
      <c r="W8" s="91"/>
      <c r="X8" s="112">
        <v>1</v>
      </c>
      <c r="Y8" s="60">
        <v>1</v>
      </c>
      <c r="Z8" s="60">
        <v>1</v>
      </c>
      <c r="AA8" s="107">
        <v>0</v>
      </c>
      <c r="AB8" s="110" t="s">
        <v>226</v>
      </c>
      <c r="AC8" s="127" t="s">
        <v>366</v>
      </c>
      <c r="AD8" s="125">
        <v>0.93</v>
      </c>
      <c r="AE8" s="126">
        <v>3.9999999999999997E-34</v>
      </c>
      <c r="AF8" s="103" t="s">
        <v>365</v>
      </c>
      <c r="AG8" s="60" t="s">
        <v>161</v>
      </c>
      <c r="AH8" s="103">
        <v>1148</v>
      </c>
      <c r="AI8" s="103">
        <v>1660</v>
      </c>
      <c r="AJ8" s="103" t="s">
        <v>311</v>
      </c>
      <c r="AK8" s="60" t="s">
        <v>29</v>
      </c>
      <c r="AL8" s="110">
        <v>0</v>
      </c>
      <c r="AM8" s="60">
        <v>1</v>
      </c>
      <c r="AN8" s="60">
        <v>1</v>
      </c>
      <c r="AO8" s="60">
        <v>1</v>
      </c>
      <c r="AP8" s="91"/>
    </row>
    <row r="9" spans="1:42" s="40" customFormat="1" x14ac:dyDescent="0.25">
      <c r="A9" s="60" t="s">
        <v>13</v>
      </c>
      <c r="B9" s="91" t="str">
        <f t="shared" si="0"/>
        <v>Abscondita_terminalis_Ate-2015</v>
      </c>
      <c r="C9" s="100" t="s">
        <v>14</v>
      </c>
      <c r="D9" s="79" t="s">
        <v>217</v>
      </c>
      <c r="E9" s="119" t="s">
        <v>218</v>
      </c>
      <c r="F9" s="60" t="s">
        <v>15</v>
      </c>
      <c r="G9" s="60" t="s">
        <v>16</v>
      </c>
      <c r="H9" s="90" t="s">
        <v>221</v>
      </c>
      <c r="I9" s="60">
        <v>4621</v>
      </c>
      <c r="J9" s="60" t="s">
        <v>18</v>
      </c>
      <c r="K9" s="60" t="s">
        <v>29</v>
      </c>
      <c r="L9" s="60">
        <v>1</v>
      </c>
      <c r="M9" s="120" t="s">
        <v>219</v>
      </c>
      <c r="N9" s="90" t="s">
        <v>221</v>
      </c>
      <c r="O9" s="90">
        <v>82579</v>
      </c>
      <c r="P9" s="90">
        <v>91667</v>
      </c>
      <c r="Q9" s="60" t="str">
        <f t="shared" si="1"/>
        <v>82579..91667</v>
      </c>
      <c r="R9" s="79" t="s">
        <v>223</v>
      </c>
      <c r="S9" s="86"/>
      <c r="T9" s="78" t="s">
        <v>224</v>
      </c>
      <c r="U9" s="78" t="s">
        <v>225</v>
      </c>
      <c r="V9" s="90" t="s">
        <v>226</v>
      </c>
      <c r="W9" s="142" t="s">
        <v>342</v>
      </c>
      <c r="X9" s="112">
        <v>0</v>
      </c>
      <c r="Y9" s="60" t="s">
        <v>311</v>
      </c>
      <c r="Z9" s="60" t="s">
        <v>311</v>
      </c>
      <c r="AA9" s="107" t="s">
        <v>311</v>
      </c>
      <c r="AB9" s="110" t="s">
        <v>190</v>
      </c>
      <c r="AC9" s="86" t="s">
        <v>351</v>
      </c>
      <c r="AD9" s="104">
        <v>1</v>
      </c>
      <c r="AE9" s="105">
        <v>9.9999999999999999E-93</v>
      </c>
      <c r="AF9" s="106" t="s">
        <v>319</v>
      </c>
      <c r="AG9" s="90" t="s">
        <v>221</v>
      </c>
      <c r="AH9" s="60">
        <v>96616</v>
      </c>
      <c r="AI9" s="60">
        <v>97236</v>
      </c>
      <c r="AJ9" s="103" t="s">
        <v>17</v>
      </c>
      <c r="AK9" s="60" t="s">
        <v>29</v>
      </c>
      <c r="AL9" s="112">
        <v>1</v>
      </c>
      <c r="AM9" s="60">
        <v>1</v>
      </c>
      <c r="AN9" s="60">
        <v>1</v>
      </c>
      <c r="AO9" s="60" t="s">
        <v>334</v>
      </c>
      <c r="AP9" s="91" t="s">
        <v>357</v>
      </c>
    </row>
    <row r="10" spans="1:42" s="44" customFormat="1" x14ac:dyDescent="0.25">
      <c r="A10" s="60" t="s">
        <v>13</v>
      </c>
      <c r="B10" s="91" t="str">
        <f t="shared" si="0"/>
        <v>Gerris_buenoi_Swe94</v>
      </c>
      <c r="C10" s="100" t="s">
        <v>94</v>
      </c>
      <c r="D10" s="79" t="s">
        <v>227</v>
      </c>
      <c r="E10" s="86" t="s">
        <v>228</v>
      </c>
      <c r="F10" s="60" t="s">
        <v>15</v>
      </c>
      <c r="G10" s="60" t="s">
        <v>63</v>
      </c>
      <c r="H10" s="60" t="s">
        <v>95</v>
      </c>
      <c r="I10" s="60">
        <v>2886</v>
      </c>
      <c r="J10" s="60" t="s">
        <v>27</v>
      </c>
      <c r="K10" s="60" t="s">
        <v>19</v>
      </c>
      <c r="L10" s="60">
        <v>1</v>
      </c>
      <c r="M10" s="121" t="s">
        <v>229</v>
      </c>
      <c r="N10" s="122" t="s">
        <v>231</v>
      </c>
      <c r="O10" s="90">
        <v>1609221</v>
      </c>
      <c r="P10" s="90">
        <v>1617881</v>
      </c>
      <c r="Q10" s="60" t="str">
        <f t="shared" si="1"/>
        <v>1609221..1617881</v>
      </c>
      <c r="R10" s="79" t="s">
        <v>232</v>
      </c>
      <c r="S10" s="86"/>
      <c r="T10" s="86" t="s">
        <v>233</v>
      </c>
      <c r="U10" s="86" t="s">
        <v>234</v>
      </c>
      <c r="V10" s="60" t="s">
        <v>226</v>
      </c>
      <c r="W10" s="100"/>
      <c r="X10" s="112">
        <v>1</v>
      </c>
      <c r="Y10" s="60">
        <v>1</v>
      </c>
      <c r="Z10" s="60">
        <v>1</v>
      </c>
      <c r="AA10" s="107">
        <v>1</v>
      </c>
      <c r="AB10" s="110" t="s">
        <v>226</v>
      </c>
      <c r="AC10" s="127" t="s">
        <v>367</v>
      </c>
      <c r="AD10" s="125">
        <v>1</v>
      </c>
      <c r="AE10" s="126">
        <v>4.0000000000000003E-133</v>
      </c>
      <c r="AF10" s="103" t="s">
        <v>368</v>
      </c>
      <c r="AG10" s="111" t="s">
        <v>231</v>
      </c>
      <c r="AH10" s="111">
        <v>1618028</v>
      </c>
      <c r="AI10" s="111">
        <v>1618651</v>
      </c>
      <c r="AJ10" s="103" t="s">
        <v>369</v>
      </c>
      <c r="AK10" s="60" t="s">
        <v>19</v>
      </c>
      <c r="AL10" s="110">
        <v>1</v>
      </c>
      <c r="AM10" s="60">
        <v>1</v>
      </c>
      <c r="AN10" s="60">
        <v>1</v>
      </c>
      <c r="AO10" s="60">
        <v>1</v>
      </c>
      <c r="AP10" s="91" t="s">
        <v>370</v>
      </c>
    </row>
    <row r="11" spans="1:42" s="44" customFormat="1" x14ac:dyDescent="0.25">
      <c r="A11" s="60" t="s">
        <v>13</v>
      </c>
      <c r="B11" s="91" t="str">
        <f t="shared" si="0"/>
        <v>Gerris_buenoi_Swe94</v>
      </c>
      <c r="C11" s="100" t="s">
        <v>94</v>
      </c>
      <c r="D11" s="79" t="s">
        <v>227</v>
      </c>
      <c r="E11" s="86" t="s">
        <v>228</v>
      </c>
      <c r="F11" s="60" t="s">
        <v>15</v>
      </c>
      <c r="G11" s="60" t="s">
        <v>63</v>
      </c>
      <c r="H11" s="122" t="s">
        <v>231</v>
      </c>
      <c r="I11" s="60">
        <v>2584</v>
      </c>
      <c r="J11" s="60" t="s">
        <v>27</v>
      </c>
      <c r="K11" s="60" t="s">
        <v>29</v>
      </c>
      <c r="L11" s="60">
        <v>1</v>
      </c>
      <c r="M11" s="121" t="s">
        <v>229</v>
      </c>
      <c r="N11" s="122" t="s">
        <v>231</v>
      </c>
      <c r="O11" s="90">
        <v>1894619</v>
      </c>
      <c r="P11" s="90">
        <v>1897359</v>
      </c>
      <c r="Q11" s="60" t="str">
        <f t="shared" si="1"/>
        <v>1894619..1897359</v>
      </c>
      <c r="R11" s="79" t="s">
        <v>232</v>
      </c>
      <c r="S11" s="86"/>
      <c r="T11" s="86" t="s">
        <v>233</v>
      </c>
      <c r="U11" s="86" t="s">
        <v>234</v>
      </c>
      <c r="V11" s="60" t="s">
        <v>226</v>
      </c>
      <c r="W11" s="100"/>
      <c r="X11" s="112">
        <v>1</v>
      </c>
      <c r="Y11" s="60">
        <v>1</v>
      </c>
      <c r="Z11" s="60">
        <v>1</v>
      </c>
      <c r="AA11" s="107">
        <v>1</v>
      </c>
      <c r="AB11" s="110" t="s">
        <v>226</v>
      </c>
      <c r="AC11" s="127" t="s">
        <v>367</v>
      </c>
      <c r="AD11" s="125">
        <v>1</v>
      </c>
      <c r="AE11" s="126">
        <v>4.0000000000000003E-133</v>
      </c>
      <c r="AF11" s="103" t="s">
        <v>368</v>
      </c>
      <c r="AG11" s="111" t="s">
        <v>231</v>
      </c>
      <c r="AH11" s="111">
        <v>1902526</v>
      </c>
      <c r="AI11" s="111">
        <v>1903149</v>
      </c>
      <c r="AJ11" s="103" t="s">
        <v>96</v>
      </c>
      <c r="AK11" s="60" t="s">
        <v>29</v>
      </c>
      <c r="AL11" s="110">
        <v>1</v>
      </c>
      <c r="AM11" s="60">
        <v>1</v>
      </c>
      <c r="AN11" s="60">
        <v>1</v>
      </c>
      <c r="AO11" s="60">
        <v>1</v>
      </c>
      <c r="AP11" s="91" t="s">
        <v>357</v>
      </c>
    </row>
    <row r="12" spans="1:42" s="40" customFormat="1" x14ac:dyDescent="0.25">
      <c r="A12" s="60" t="s">
        <v>13</v>
      </c>
      <c r="B12" s="91" t="str">
        <f t="shared" si="0"/>
        <v>Armadillidium_vulgare_WXf-1543</v>
      </c>
      <c r="C12" s="100" t="s">
        <v>46</v>
      </c>
      <c r="D12" s="79" t="s">
        <v>236</v>
      </c>
      <c r="E12" s="78" t="s">
        <v>237</v>
      </c>
      <c r="F12" s="60" t="s">
        <v>15</v>
      </c>
      <c r="G12" s="60" t="s">
        <v>47</v>
      </c>
      <c r="H12" s="60" t="s">
        <v>53</v>
      </c>
      <c r="I12" s="115">
        <v>2770</v>
      </c>
      <c r="J12" s="60" t="s">
        <v>18</v>
      </c>
      <c r="K12" s="60" t="s">
        <v>19</v>
      </c>
      <c r="L12" s="60">
        <v>1</v>
      </c>
      <c r="M12" s="121" t="s">
        <v>229</v>
      </c>
      <c r="N12" s="90" t="s">
        <v>238</v>
      </c>
      <c r="O12" s="90">
        <v>880568</v>
      </c>
      <c r="P12" s="90">
        <v>888880</v>
      </c>
      <c r="Q12" s="60" t="str">
        <f t="shared" si="1"/>
        <v>880568..888880</v>
      </c>
      <c r="R12" s="79" t="s">
        <v>239</v>
      </c>
      <c r="S12" s="86"/>
      <c r="T12" s="78" t="s">
        <v>240</v>
      </c>
      <c r="U12" s="78" t="s">
        <v>241</v>
      </c>
      <c r="V12" s="90" t="s">
        <v>226</v>
      </c>
      <c r="W12" s="86" t="s">
        <v>343</v>
      </c>
      <c r="X12" s="112">
        <v>0</v>
      </c>
      <c r="Y12" s="60" t="s">
        <v>311</v>
      </c>
      <c r="Z12" s="60" t="s">
        <v>311</v>
      </c>
      <c r="AA12" s="107" t="s">
        <v>311</v>
      </c>
      <c r="AB12" s="110" t="s">
        <v>190</v>
      </c>
      <c r="AC12" s="86" t="s">
        <v>326</v>
      </c>
      <c r="AD12" s="104">
        <v>1</v>
      </c>
      <c r="AE12" s="105">
        <v>2E-99</v>
      </c>
      <c r="AF12" s="106" t="s">
        <v>327</v>
      </c>
      <c r="AG12" s="60" t="s">
        <v>238</v>
      </c>
      <c r="AH12" s="106">
        <v>889145</v>
      </c>
      <c r="AI12" s="60">
        <v>889777</v>
      </c>
      <c r="AJ12" s="103" t="s">
        <v>378</v>
      </c>
      <c r="AK12" s="60" t="s">
        <v>19</v>
      </c>
      <c r="AL12" s="112">
        <v>1</v>
      </c>
      <c r="AM12" s="60">
        <v>1</v>
      </c>
      <c r="AN12" s="60">
        <v>1</v>
      </c>
      <c r="AO12" s="60" t="s">
        <v>334</v>
      </c>
      <c r="AP12" s="91"/>
    </row>
    <row r="13" spans="1:42" s="40" customFormat="1" x14ac:dyDescent="0.25">
      <c r="A13" s="60" t="s">
        <v>13</v>
      </c>
      <c r="B13" s="91" t="str">
        <f t="shared" si="0"/>
        <v>Armadillidium_vulgare_WXf-1543</v>
      </c>
      <c r="C13" s="100" t="s">
        <v>46</v>
      </c>
      <c r="D13" s="79" t="s">
        <v>236</v>
      </c>
      <c r="E13" s="78" t="s">
        <v>237</v>
      </c>
      <c r="F13" s="60" t="s">
        <v>15</v>
      </c>
      <c r="G13" s="60" t="s">
        <v>47</v>
      </c>
      <c r="H13" s="60" t="s">
        <v>58</v>
      </c>
      <c r="I13" s="60">
        <v>2770</v>
      </c>
      <c r="J13" s="60" t="s">
        <v>18</v>
      </c>
      <c r="K13" s="60" t="s">
        <v>19</v>
      </c>
      <c r="L13" s="60">
        <v>1</v>
      </c>
      <c r="M13" s="121" t="s">
        <v>229</v>
      </c>
      <c r="N13" s="90" t="s">
        <v>238</v>
      </c>
      <c r="O13" s="90">
        <v>2330639</v>
      </c>
      <c r="P13" s="90">
        <v>2338951</v>
      </c>
      <c r="Q13" s="60" t="str">
        <f t="shared" si="1"/>
        <v>2330639..2338951</v>
      </c>
      <c r="R13" s="79" t="s">
        <v>239</v>
      </c>
      <c r="S13" s="86"/>
      <c r="T13" s="78" t="s">
        <v>240</v>
      </c>
      <c r="U13" s="78" t="s">
        <v>241</v>
      </c>
      <c r="V13" s="90" t="s">
        <v>226</v>
      </c>
      <c r="W13" s="86" t="s">
        <v>343</v>
      </c>
      <c r="X13" s="112">
        <v>0</v>
      </c>
      <c r="Y13" s="60" t="s">
        <v>311</v>
      </c>
      <c r="Z13" s="60" t="s">
        <v>311</v>
      </c>
      <c r="AA13" s="107" t="s">
        <v>311</v>
      </c>
      <c r="AB13" s="110" t="s">
        <v>190</v>
      </c>
      <c r="AC13" s="86" t="s">
        <v>326</v>
      </c>
      <c r="AD13" s="104">
        <v>1</v>
      </c>
      <c r="AE13" s="105">
        <v>2E-99</v>
      </c>
      <c r="AF13" s="106" t="s">
        <v>327</v>
      </c>
      <c r="AG13" s="60" t="s">
        <v>238</v>
      </c>
      <c r="AH13" s="60">
        <v>2339216</v>
      </c>
      <c r="AI13" s="60">
        <v>2339848</v>
      </c>
      <c r="AJ13" s="103" t="s">
        <v>379</v>
      </c>
      <c r="AK13" s="60" t="s">
        <v>19</v>
      </c>
      <c r="AL13" s="112">
        <v>1</v>
      </c>
      <c r="AM13" s="60">
        <v>1</v>
      </c>
      <c r="AN13" s="60">
        <v>1</v>
      </c>
      <c r="AO13" s="60" t="s">
        <v>334</v>
      </c>
      <c r="AP13" s="91"/>
    </row>
    <row r="14" spans="1:42" s="40" customFormat="1" x14ac:dyDescent="0.25">
      <c r="A14" s="60" t="s">
        <v>13</v>
      </c>
      <c r="B14" s="91" t="str">
        <f t="shared" si="0"/>
        <v>Armadillidium_vulgare_WXf-1543</v>
      </c>
      <c r="C14" s="100" t="s">
        <v>46</v>
      </c>
      <c r="D14" s="79" t="s">
        <v>236</v>
      </c>
      <c r="E14" s="78" t="s">
        <v>237</v>
      </c>
      <c r="F14" s="60" t="s">
        <v>15</v>
      </c>
      <c r="G14" s="60" t="s">
        <v>47</v>
      </c>
      <c r="H14" s="60" t="s">
        <v>54</v>
      </c>
      <c r="I14" s="60">
        <v>2770</v>
      </c>
      <c r="J14" s="60" t="s">
        <v>18</v>
      </c>
      <c r="K14" s="60" t="s">
        <v>19</v>
      </c>
      <c r="L14" s="60">
        <v>1</v>
      </c>
      <c r="M14" s="121" t="s">
        <v>229</v>
      </c>
      <c r="N14" s="90" t="s">
        <v>238</v>
      </c>
      <c r="O14" s="90">
        <v>1631781</v>
      </c>
      <c r="P14" s="90">
        <v>1640093</v>
      </c>
      <c r="Q14" s="60" t="str">
        <f t="shared" si="1"/>
        <v>1631781..1640093</v>
      </c>
      <c r="R14" s="79" t="s">
        <v>239</v>
      </c>
      <c r="S14" s="86"/>
      <c r="T14" s="78" t="s">
        <v>240</v>
      </c>
      <c r="U14" s="78" t="s">
        <v>241</v>
      </c>
      <c r="V14" s="90" t="s">
        <v>226</v>
      </c>
      <c r="W14" s="86" t="s">
        <v>343</v>
      </c>
      <c r="X14" s="112">
        <v>0</v>
      </c>
      <c r="Y14" s="60" t="s">
        <v>311</v>
      </c>
      <c r="Z14" s="60" t="s">
        <v>311</v>
      </c>
      <c r="AA14" s="107" t="s">
        <v>311</v>
      </c>
      <c r="AB14" s="110" t="s">
        <v>190</v>
      </c>
      <c r="AC14" s="86" t="s">
        <v>326</v>
      </c>
      <c r="AD14" s="104">
        <v>1</v>
      </c>
      <c r="AE14" s="105">
        <v>2E-99</v>
      </c>
      <c r="AF14" s="106" t="s">
        <v>327</v>
      </c>
      <c r="AG14" s="60" t="s">
        <v>238</v>
      </c>
      <c r="AH14" s="60">
        <v>1630884</v>
      </c>
      <c r="AI14" s="60">
        <v>1631516</v>
      </c>
      <c r="AJ14" s="103" t="s">
        <v>380</v>
      </c>
      <c r="AK14" s="60" t="s">
        <v>19</v>
      </c>
      <c r="AL14" s="112">
        <v>1</v>
      </c>
      <c r="AM14" s="60">
        <v>1</v>
      </c>
      <c r="AN14" s="60">
        <v>1</v>
      </c>
      <c r="AO14" s="60" t="s">
        <v>334</v>
      </c>
      <c r="AP14" s="91"/>
    </row>
    <row r="15" spans="1:42" s="44" customFormat="1" x14ac:dyDescent="0.25">
      <c r="A15" s="60" t="s">
        <v>13</v>
      </c>
      <c r="B15" s="91" t="str">
        <f t="shared" si="0"/>
        <v>Homalodisca_vitripennis_Tul88</v>
      </c>
      <c r="C15" s="100" t="s">
        <v>97</v>
      </c>
      <c r="D15" s="79" t="s">
        <v>242</v>
      </c>
      <c r="E15" s="78" t="s">
        <v>243</v>
      </c>
      <c r="F15" s="60" t="s">
        <v>15</v>
      </c>
      <c r="G15" s="60" t="s">
        <v>63</v>
      </c>
      <c r="H15" s="60" t="s">
        <v>98</v>
      </c>
      <c r="I15" s="60">
        <v>3222</v>
      </c>
      <c r="J15" s="60" t="s">
        <v>27</v>
      </c>
      <c r="K15" s="60" t="s">
        <v>19</v>
      </c>
      <c r="L15" s="60">
        <v>1</v>
      </c>
      <c r="M15" s="121" t="s">
        <v>229</v>
      </c>
      <c r="N15" s="60" t="s">
        <v>244</v>
      </c>
      <c r="O15" s="60">
        <v>50115</v>
      </c>
      <c r="P15" s="60">
        <v>51397</v>
      </c>
      <c r="Q15" s="60" t="str">
        <f t="shared" si="1"/>
        <v>50115..51397</v>
      </c>
      <c r="R15" s="79" t="s">
        <v>245</v>
      </c>
      <c r="S15" s="86" t="s">
        <v>246</v>
      </c>
      <c r="T15" s="78" t="s">
        <v>247</v>
      </c>
      <c r="U15" s="86" t="s">
        <v>248</v>
      </c>
      <c r="V15" s="60" t="s">
        <v>226</v>
      </c>
      <c r="W15" s="100"/>
      <c r="X15" s="112">
        <v>1</v>
      </c>
      <c r="Y15" s="60">
        <v>1</v>
      </c>
      <c r="Z15" s="60">
        <v>1</v>
      </c>
      <c r="AA15" s="107">
        <v>1</v>
      </c>
      <c r="AB15" s="110" t="s">
        <v>226</v>
      </c>
      <c r="AC15" s="127" t="s">
        <v>371</v>
      </c>
      <c r="AD15" s="125">
        <v>1</v>
      </c>
      <c r="AE15" s="126">
        <v>6.0000000000000003E-115</v>
      </c>
      <c r="AF15" s="103" t="s">
        <v>372</v>
      </c>
      <c r="AG15" s="60" t="s">
        <v>244</v>
      </c>
      <c r="AH15" s="103">
        <v>50682</v>
      </c>
      <c r="AI15" s="103">
        <v>51305</v>
      </c>
      <c r="AJ15" s="103" t="s">
        <v>98</v>
      </c>
      <c r="AK15" s="60" t="s">
        <v>19</v>
      </c>
      <c r="AL15" s="110">
        <v>1</v>
      </c>
      <c r="AM15" s="60">
        <v>1</v>
      </c>
      <c r="AN15" s="60">
        <v>1</v>
      </c>
      <c r="AO15" s="60">
        <v>1</v>
      </c>
      <c r="AP15" s="91" t="s">
        <v>373</v>
      </c>
    </row>
    <row r="16" spans="1:42" s="44" customFormat="1" x14ac:dyDescent="0.25">
      <c r="A16" s="60" t="s">
        <v>13</v>
      </c>
      <c r="B16" s="91" t="str">
        <f t="shared" si="0"/>
        <v>Homalodisca_vitripennis_Tul88</v>
      </c>
      <c r="C16" s="100" t="s">
        <v>97</v>
      </c>
      <c r="D16" s="79" t="s">
        <v>242</v>
      </c>
      <c r="E16" s="78" t="s">
        <v>243</v>
      </c>
      <c r="F16" s="60" t="s">
        <v>15</v>
      </c>
      <c r="G16" s="60" t="s">
        <v>63</v>
      </c>
      <c r="H16" s="60" t="s">
        <v>99</v>
      </c>
      <c r="I16" s="60">
        <v>2826</v>
      </c>
      <c r="J16" s="60" t="s">
        <v>27</v>
      </c>
      <c r="K16" s="60" t="s">
        <v>19</v>
      </c>
      <c r="L16" s="60">
        <v>1</v>
      </c>
      <c r="M16" s="121" t="s">
        <v>229</v>
      </c>
      <c r="N16" s="60" t="s">
        <v>244</v>
      </c>
      <c r="O16" s="60">
        <v>130317</v>
      </c>
      <c r="P16" s="60">
        <v>138797</v>
      </c>
      <c r="Q16" s="60" t="str">
        <f t="shared" si="1"/>
        <v>130317..138797</v>
      </c>
      <c r="R16" s="79" t="s">
        <v>245</v>
      </c>
      <c r="S16" s="86" t="s">
        <v>246</v>
      </c>
      <c r="T16" s="78" t="s">
        <v>247</v>
      </c>
      <c r="U16" s="86" t="s">
        <v>248</v>
      </c>
      <c r="V16" s="60" t="s">
        <v>226</v>
      </c>
      <c r="W16" s="100"/>
      <c r="X16" s="112">
        <v>1</v>
      </c>
      <c r="Y16" s="60">
        <v>1</v>
      </c>
      <c r="Z16" s="60">
        <v>1</v>
      </c>
      <c r="AA16" s="107">
        <v>1</v>
      </c>
      <c r="AB16" s="110" t="s">
        <v>226</v>
      </c>
      <c r="AC16" s="127" t="s">
        <v>371</v>
      </c>
      <c r="AD16" s="125">
        <v>1</v>
      </c>
      <c r="AE16" s="126">
        <v>6.0000000000000003E-115</v>
      </c>
      <c r="AF16" s="103" t="s">
        <v>372</v>
      </c>
      <c r="AG16" s="103" t="s">
        <v>244</v>
      </c>
      <c r="AH16" s="103">
        <v>129394</v>
      </c>
      <c r="AI16" s="103">
        <v>130029</v>
      </c>
      <c r="AJ16" s="103" t="s">
        <v>374</v>
      </c>
      <c r="AK16" s="60" t="s">
        <v>19</v>
      </c>
      <c r="AL16" s="110">
        <v>0</v>
      </c>
      <c r="AM16" s="60">
        <v>1</v>
      </c>
      <c r="AN16" s="60">
        <v>1</v>
      </c>
      <c r="AO16" s="60">
        <v>1</v>
      </c>
      <c r="AP16" s="91"/>
    </row>
    <row r="17" spans="1:42" s="40" customFormat="1" x14ac:dyDescent="0.25">
      <c r="A17" s="60" t="s">
        <v>13</v>
      </c>
      <c r="B17" s="91" t="str">
        <f t="shared" si="0"/>
        <v>Araneus_ventricosus_Yam34</v>
      </c>
      <c r="C17" s="100" t="s">
        <v>35</v>
      </c>
      <c r="D17" s="79" t="s">
        <v>249</v>
      </c>
      <c r="E17" s="78" t="s">
        <v>250</v>
      </c>
      <c r="F17" s="60" t="s">
        <v>15</v>
      </c>
      <c r="G17" s="60" t="s">
        <v>36</v>
      </c>
      <c r="H17" s="90" t="s">
        <v>252</v>
      </c>
      <c r="I17" s="60">
        <v>1820</v>
      </c>
      <c r="J17" s="60" t="s">
        <v>27</v>
      </c>
      <c r="K17" s="60" t="s">
        <v>29</v>
      </c>
      <c r="L17" s="60">
        <v>1</v>
      </c>
      <c r="M17" s="101" t="s">
        <v>251</v>
      </c>
      <c r="N17" s="90" t="s">
        <v>252</v>
      </c>
      <c r="O17" s="90">
        <v>173542</v>
      </c>
      <c r="P17" s="90">
        <v>174200</v>
      </c>
      <c r="Q17" s="60" t="str">
        <f>_xlfn.CONCAT(O17,"..",P17)</f>
        <v>173542..174200</v>
      </c>
      <c r="R17" s="79" t="s">
        <v>253</v>
      </c>
      <c r="S17" s="86"/>
      <c r="T17" s="78" t="s">
        <v>254</v>
      </c>
      <c r="U17" s="92" t="s">
        <v>255</v>
      </c>
      <c r="V17" s="90" t="s">
        <v>226</v>
      </c>
      <c r="W17" s="60"/>
      <c r="X17" s="112">
        <v>1</v>
      </c>
      <c r="Y17" s="60">
        <v>1</v>
      </c>
      <c r="Z17" s="60">
        <v>0</v>
      </c>
      <c r="AA17" s="107">
        <v>0</v>
      </c>
      <c r="AB17" s="110" t="s">
        <v>226</v>
      </c>
      <c r="AC17" s="86" t="s">
        <v>353</v>
      </c>
      <c r="AD17" s="104">
        <v>1</v>
      </c>
      <c r="AE17" s="105">
        <v>4E-174</v>
      </c>
      <c r="AF17" s="106" t="s">
        <v>354</v>
      </c>
      <c r="AG17" s="60" t="s">
        <v>252</v>
      </c>
      <c r="AH17" s="60">
        <v>181548</v>
      </c>
      <c r="AI17" s="60">
        <v>182456</v>
      </c>
      <c r="AJ17" s="103" t="s">
        <v>41</v>
      </c>
      <c r="AK17" s="60" t="s">
        <v>29</v>
      </c>
      <c r="AL17" s="110">
        <v>1</v>
      </c>
      <c r="AM17" s="60">
        <v>1</v>
      </c>
      <c r="AN17" s="60">
        <v>1</v>
      </c>
      <c r="AO17" s="60" t="s">
        <v>334</v>
      </c>
      <c r="AP17" s="91" t="s">
        <v>357</v>
      </c>
    </row>
    <row r="18" spans="1:42" s="40" customFormat="1" x14ac:dyDescent="0.25">
      <c r="A18" s="60" t="s">
        <v>13</v>
      </c>
      <c r="B18" s="91" t="str">
        <f t="shared" si="0"/>
        <v>Nephila_pilipes_Oki30</v>
      </c>
      <c r="C18" s="100" t="s">
        <v>129</v>
      </c>
      <c r="D18" s="79" t="s">
        <v>256</v>
      </c>
      <c r="E18" s="86" t="s">
        <v>257</v>
      </c>
      <c r="F18" s="60" t="s">
        <v>15</v>
      </c>
      <c r="G18" s="60" t="s">
        <v>36</v>
      </c>
      <c r="H18" s="60" t="s">
        <v>131</v>
      </c>
      <c r="I18" s="60">
        <v>1005</v>
      </c>
      <c r="J18" s="60" t="s">
        <v>18</v>
      </c>
      <c r="K18" s="60" t="s">
        <v>19</v>
      </c>
      <c r="L18" s="60">
        <v>1</v>
      </c>
      <c r="M18" s="101" t="s">
        <v>251</v>
      </c>
      <c r="N18" s="60" t="s">
        <v>258</v>
      </c>
      <c r="O18" s="60">
        <v>1095</v>
      </c>
      <c r="P18" s="60">
        <v>3105</v>
      </c>
      <c r="Q18" s="60" t="str">
        <f t="shared" si="1"/>
        <v>1095..3105</v>
      </c>
      <c r="R18" s="79" t="s">
        <v>259</v>
      </c>
      <c r="S18" s="86"/>
      <c r="T18" s="86" t="s">
        <v>260</v>
      </c>
      <c r="U18" s="86" t="s">
        <v>261</v>
      </c>
      <c r="V18" s="60" t="s">
        <v>226</v>
      </c>
      <c r="W18" s="100"/>
      <c r="X18" s="112">
        <v>1</v>
      </c>
      <c r="Y18" s="60">
        <v>1</v>
      </c>
      <c r="Z18" s="60">
        <v>1</v>
      </c>
      <c r="AA18" s="107">
        <v>1</v>
      </c>
      <c r="AB18" s="110" t="s">
        <v>226</v>
      </c>
      <c r="AC18" s="86" t="s">
        <v>355</v>
      </c>
      <c r="AD18" s="104">
        <v>0.94</v>
      </c>
      <c r="AE18" s="105">
        <v>9.0000000000000004E-93</v>
      </c>
      <c r="AF18" s="106" t="s">
        <v>356</v>
      </c>
      <c r="AG18" s="60" t="s">
        <v>258</v>
      </c>
      <c r="AH18" s="60">
        <v>44</v>
      </c>
      <c r="AI18" s="60">
        <v>721</v>
      </c>
      <c r="AJ18" s="103" t="s">
        <v>130</v>
      </c>
      <c r="AK18" s="60" t="s">
        <v>19</v>
      </c>
      <c r="AL18" s="110">
        <v>0</v>
      </c>
      <c r="AM18" s="60">
        <v>1</v>
      </c>
      <c r="AN18" s="60">
        <v>1</v>
      </c>
      <c r="AO18" s="60" t="s">
        <v>334</v>
      </c>
      <c r="AP18" s="91" t="s">
        <v>375</v>
      </c>
    </row>
    <row r="19" spans="1:42" s="40" customFormat="1" x14ac:dyDescent="0.25">
      <c r="A19" s="60" t="s">
        <v>13</v>
      </c>
      <c r="B19" s="91" t="str">
        <f t="shared" si="0"/>
        <v>Phlebotomus_argentipes_P92</v>
      </c>
      <c r="C19" s="100" t="s">
        <v>141</v>
      </c>
      <c r="D19" s="92" t="s">
        <v>262</v>
      </c>
      <c r="E19" s="86" t="s">
        <v>263</v>
      </c>
      <c r="F19" s="60" t="s">
        <v>15</v>
      </c>
      <c r="G19" s="60" t="s">
        <v>83</v>
      </c>
      <c r="H19" s="60" t="s">
        <v>142</v>
      </c>
      <c r="I19" s="60">
        <v>3900</v>
      </c>
      <c r="J19" s="60" t="s">
        <v>27</v>
      </c>
      <c r="K19" s="60" t="s">
        <v>19</v>
      </c>
      <c r="L19" s="60">
        <v>1</v>
      </c>
      <c r="M19" s="101" t="s">
        <v>251</v>
      </c>
      <c r="N19" s="60" t="s">
        <v>264</v>
      </c>
      <c r="O19" s="60">
        <v>6845719</v>
      </c>
      <c r="P19" s="60">
        <v>6859011</v>
      </c>
      <c r="Q19" s="60" t="str">
        <f t="shared" si="1"/>
        <v>6845719..6859011</v>
      </c>
      <c r="R19" s="79" t="s">
        <v>265</v>
      </c>
      <c r="S19" s="86"/>
      <c r="T19" s="86" t="s">
        <v>266</v>
      </c>
      <c r="U19" s="92" t="s">
        <v>267</v>
      </c>
      <c r="V19" s="60" t="s">
        <v>226</v>
      </c>
      <c r="W19" s="100"/>
      <c r="X19" s="112">
        <v>0</v>
      </c>
      <c r="Y19" s="60" t="s">
        <v>311</v>
      </c>
      <c r="Z19" s="60" t="s">
        <v>311</v>
      </c>
      <c r="AA19" s="107" t="s">
        <v>311</v>
      </c>
      <c r="AB19" s="112" t="s">
        <v>190</v>
      </c>
      <c r="AC19" s="86" t="s">
        <v>311</v>
      </c>
      <c r="AD19" s="104" t="s">
        <v>311</v>
      </c>
      <c r="AE19" s="105" t="s">
        <v>311</v>
      </c>
      <c r="AF19" s="106" t="s">
        <v>311</v>
      </c>
      <c r="AG19" s="60" t="s">
        <v>311</v>
      </c>
      <c r="AH19" s="106" t="s">
        <v>311</v>
      </c>
      <c r="AI19" s="60" t="s">
        <v>311</v>
      </c>
      <c r="AJ19" s="103" t="s">
        <v>311</v>
      </c>
      <c r="AK19" s="60" t="s">
        <v>311</v>
      </c>
      <c r="AL19" s="112" t="s">
        <v>311</v>
      </c>
      <c r="AM19" s="60">
        <v>0</v>
      </c>
      <c r="AN19" s="60" t="s">
        <v>311</v>
      </c>
      <c r="AO19" s="60" t="s">
        <v>311</v>
      </c>
      <c r="AP19" s="91"/>
    </row>
    <row r="20" spans="1:42" s="40" customFormat="1" x14ac:dyDescent="0.25">
      <c r="A20" s="60" t="s">
        <v>13</v>
      </c>
      <c r="B20" s="91" t="str">
        <f t="shared" si="0"/>
        <v>Brachionus_calyciflorus_Ploen</v>
      </c>
      <c r="C20" s="100" t="s">
        <v>59</v>
      </c>
      <c r="D20" s="79" t="s">
        <v>268</v>
      </c>
      <c r="E20" s="78" t="s">
        <v>269</v>
      </c>
      <c r="F20" s="60" t="s">
        <v>60</v>
      </c>
      <c r="G20" s="60" t="s">
        <v>60</v>
      </c>
      <c r="H20" s="60" t="s">
        <v>61</v>
      </c>
      <c r="I20" s="60">
        <v>4537</v>
      </c>
      <c r="J20" s="60" t="s">
        <v>18</v>
      </c>
      <c r="K20" s="60" t="s">
        <v>19</v>
      </c>
      <c r="L20" s="60">
        <v>1</v>
      </c>
      <c r="M20" s="101" t="s">
        <v>251</v>
      </c>
      <c r="N20" s="90" t="s">
        <v>270</v>
      </c>
      <c r="O20" s="90">
        <v>1664</v>
      </c>
      <c r="P20" s="90">
        <v>1836</v>
      </c>
      <c r="Q20" s="60" t="str">
        <f t="shared" si="1"/>
        <v>1664..1836</v>
      </c>
      <c r="R20" s="79" t="s">
        <v>271</v>
      </c>
      <c r="S20" s="86"/>
      <c r="T20" s="92" t="s">
        <v>272</v>
      </c>
      <c r="U20" s="91" t="s">
        <v>273</v>
      </c>
      <c r="V20" s="90" t="s">
        <v>226</v>
      </c>
      <c r="W20" s="142"/>
      <c r="X20" s="112">
        <v>0</v>
      </c>
      <c r="Y20" s="60" t="s">
        <v>311</v>
      </c>
      <c r="Z20" s="60" t="s">
        <v>311</v>
      </c>
      <c r="AA20" s="107" t="s">
        <v>311</v>
      </c>
      <c r="AB20" s="112" t="s">
        <v>190</v>
      </c>
      <c r="AC20" s="86" t="s">
        <v>311</v>
      </c>
      <c r="AD20" s="104" t="s">
        <v>311</v>
      </c>
      <c r="AE20" s="105" t="s">
        <v>311</v>
      </c>
      <c r="AF20" s="106" t="s">
        <v>311</v>
      </c>
      <c r="AG20" s="60" t="s">
        <v>311</v>
      </c>
      <c r="AH20" s="106" t="s">
        <v>311</v>
      </c>
      <c r="AI20" s="60" t="s">
        <v>311</v>
      </c>
      <c r="AJ20" s="103" t="s">
        <v>311</v>
      </c>
      <c r="AK20" s="60" t="s">
        <v>311</v>
      </c>
      <c r="AL20" s="112" t="s">
        <v>311</v>
      </c>
      <c r="AM20" s="60">
        <v>0</v>
      </c>
      <c r="AN20" s="60" t="s">
        <v>311</v>
      </c>
      <c r="AO20" s="60" t="s">
        <v>311</v>
      </c>
      <c r="AP20" s="91"/>
    </row>
    <row r="21" spans="1:42" s="44" customFormat="1" x14ac:dyDescent="0.25">
      <c r="A21" s="60" t="s">
        <v>13</v>
      </c>
      <c r="B21" s="91" t="str">
        <f t="shared" si="0"/>
        <v>Dendroctonus_ponderosae_FM20</v>
      </c>
      <c r="C21" s="100" t="s">
        <v>71</v>
      </c>
      <c r="D21" s="78" t="s">
        <v>274</v>
      </c>
      <c r="E21" s="86" t="s">
        <v>275</v>
      </c>
      <c r="F21" s="60" t="s">
        <v>15</v>
      </c>
      <c r="G21" s="60" t="s">
        <v>16</v>
      </c>
      <c r="H21" s="60" t="s">
        <v>74</v>
      </c>
      <c r="I21" s="60">
        <v>4507</v>
      </c>
      <c r="J21" s="60" t="s">
        <v>27</v>
      </c>
      <c r="K21" s="60" t="s">
        <v>19</v>
      </c>
      <c r="L21" s="60">
        <v>1</v>
      </c>
      <c r="M21" s="101" t="s">
        <v>251</v>
      </c>
      <c r="N21" s="90" t="s">
        <v>276</v>
      </c>
      <c r="O21" s="90">
        <v>15406443</v>
      </c>
      <c r="P21" s="90">
        <v>15420113</v>
      </c>
      <c r="Q21" s="60" t="str">
        <f t="shared" si="1"/>
        <v>15406443..15420113</v>
      </c>
      <c r="R21" s="79" t="s">
        <v>277</v>
      </c>
      <c r="S21" s="91" t="s">
        <v>200</v>
      </c>
      <c r="T21" s="92" t="s">
        <v>278</v>
      </c>
      <c r="U21" s="91" t="s">
        <v>279</v>
      </c>
      <c r="V21" s="90" t="s">
        <v>226</v>
      </c>
      <c r="W21" s="100"/>
      <c r="X21" s="112">
        <v>0</v>
      </c>
      <c r="Y21" s="60" t="s">
        <v>311</v>
      </c>
      <c r="Z21" s="60" t="s">
        <v>311</v>
      </c>
      <c r="AA21" s="107" t="s">
        <v>311</v>
      </c>
      <c r="AB21" s="112" t="s">
        <v>190</v>
      </c>
      <c r="AC21" s="86" t="s">
        <v>311</v>
      </c>
      <c r="AD21" s="104" t="s">
        <v>311</v>
      </c>
      <c r="AE21" s="105" t="s">
        <v>311</v>
      </c>
      <c r="AF21" s="106" t="s">
        <v>311</v>
      </c>
      <c r="AG21" s="60" t="s">
        <v>311</v>
      </c>
      <c r="AH21" s="106" t="s">
        <v>311</v>
      </c>
      <c r="AI21" s="60" t="s">
        <v>311</v>
      </c>
      <c r="AJ21" s="103" t="s">
        <v>311</v>
      </c>
      <c r="AK21" s="60" t="s">
        <v>311</v>
      </c>
      <c r="AL21" s="112" t="s">
        <v>311</v>
      </c>
      <c r="AM21" s="60">
        <v>0</v>
      </c>
      <c r="AN21" s="60" t="s">
        <v>311</v>
      </c>
      <c r="AO21" s="60" t="s">
        <v>311</v>
      </c>
      <c r="AP21" s="91"/>
    </row>
    <row r="22" spans="1:42" s="44" customFormat="1" x14ac:dyDescent="0.25">
      <c r="A22" s="60" t="s">
        <v>13</v>
      </c>
      <c r="B22" s="91" t="str">
        <f t="shared" si="0"/>
        <v>Dendroctonus_ponderosae_FM20</v>
      </c>
      <c r="C22" s="100" t="s">
        <v>71</v>
      </c>
      <c r="D22" s="78" t="s">
        <v>274</v>
      </c>
      <c r="E22" s="86" t="s">
        <v>275</v>
      </c>
      <c r="F22" s="60" t="s">
        <v>15</v>
      </c>
      <c r="G22" s="60" t="s">
        <v>16</v>
      </c>
      <c r="H22" s="60" t="s">
        <v>77</v>
      </c>
      <c r="I22" s="60">
        <v>1249</v>
      </c>
      <c r="J22" s="60" t="s">
        <v>27</v>
      </c>
      <c r="K22" s="60" t="s">
        <v>19</v>
      </c>
      <c r="L22" s="60">
        <v>1</v>
      </c>
      <c r="M22" s="101" t="s">
        <v>251</v>
      </c>
      <c r="N22" s="90" t="s">
        <v>276</v>
      </c>
      <c r="O22" s="90">
        <v>15300194</v>
      </c>
      <c r="P22" s="90">
        <v>15303943</v>
      </c>
      <c r="Q22" s="60" t="str">
        <f t="shared" si="1"/>
        <v>15300194..15303943</v>
      </c>
      <c r="R22" s="79" t="s">
        <v>277</v>
      </c>
      <c r="S22" s="91" t="s">
        <v>200</v>
      </c>
      <c r="T22" s="92" t="s">
        <v>278</v>
      </c>
      <c r="U22" s="91" t="s">
        <v>279</v>
      </c>
      <c r="V22" s="90" t="s">
        <v>226</v>
      </c>
      <c r="W22" s="100"/>
      <c r="X22" s="112">
        <v>0</v>
      </c>
      <c r="Y22" s="60" t="s">
        <v>311</v>
      </c>
      <c r="Z22" s="60" t="s">
        <v>311</v>
      </c>
      <c r="AA22" s="107" t="s">
        <v>311</v>
      </c>
      <c r="AB22" s="112" t="s">
        <v>190</v>
      </c>
      <c r="AC22" s="86" t="s">
        <v>311</v>
      </c>
      <c r="AD22" s="104" t="s">
        <v>311</v>
      </c>
      <c r="AE22" s="105" t="s">
        <v>311</v>
      </c>
      <c r="AF22" s="106" t="s">
        <v>311</v>
      </c>
      <c r="AG22" s="60" t="s">
        <v>311</v>
      </c>
      <c r="AH22" s="106" t="s">
        <v>311</v>
      </c>
      <c r="AI22" s="60" t="s">
        <v>311</v>
      </c>
      <c r="AJ22" s="103" t="s">
        <v>311</v>
      </c>
      <c r="AK22" s="60" t="s">
        <v>311</v>
      </c>
      <c r="AL22" s="112" t="s">
        <v>311</v>
      </c>
      <c r="AM22" s="60">
        <v>0</v>
      </c>
      <c r="AN22" s="60" t="s">
        <v>311</v>
      </c>
      <c r="AO22" s="60" t="s">
        <v>311</v>
      </c>
      <c r="AP22" s="91"/>
    </row>
    <row r="23" spans="1:42" s="44" customFormat="1" x14ac:dyDescent="0.25">
      <c r="A23" s="60" t="s">
        <v>13</v>
      </c>
      <c r="B23" s="91" t="str">
        <f t="shared" si="0"/>
        <v>Dendroctonus_ponderosae_FM20</v>
      </c>
      <c r="C23" s="100" t="s">
        <v>71</v>
      </c>
      <c r="D23" s="78" t="s">
        <v>274</v>
      </c>
      <c r="E23" s="86" t="s">
        <v>275</v>
      </c>
      <c r="F23" s="60" t="s">
        <v>15</v>
      </c>
      <c r="G23" s="60" t="s">
        <v>16</v>
      </c>
      <c r="H23" s="60" t="s">
        <v>76</v>
      </c>
      <c r="I23" s="60">
        <v>4507</v>
      </c>
      <c r="J23" s="60" t="s">
        <v>27</v>
      </c>
      <c r="K23" s="60" t="s">
        <v>19</v>
      </c>
      <c r="L23" s="60">
        <v>1</v>
      </c>
      <c r="M23" s="101" t="s">
        <v>251</v>
      </c>
      <c r="N23" s="60" t="s">
        <v>276</v>
      </c>
      <c r="O23" s="60">
        <v>15406443</v>
      </c>
      <c r="P23" s="60">
        <v>15420113</v>
      </c>
      <c r="Q23" s="60" t="str">
        <f t="shared" si="1"/>
        <v>15406443..15420113</v>
      </c>
      <c r="R23" s="79" t="s">
        <v>277</v>
      </c>
      <c r="S23" s="91" t="s">
        <v>200</v>
      </c>
      <c r="T23" s="92" t="s">
        <v>278</v>
      </c>
      <c r="U23" s="91" t="s">
        <v>279</v>
      </c>
      <c r="V23" s="90" t="s">
        <v>226</v>
      </c>
      <c r="W23" s="100"/>
      <c r="X23" s="112">
        <v>0</v>
      </c>
      <c r="Y23" s="60" t="s">
        <v>311</v>
      </c>
      <c r="Z23" s="60" t="s">
        <v>311</v>
      </c>
      <c r="AA23" s="107" t="s">
        <v>311</v>
      </c>
      <c r="AB23" s="112" t="s">
        <v>190</v>
      </c>
      <c r="AC23" s="86" t="s">
        <v>311</v>
      </c>
      <c r="AD23" s="104" t="s">
        <v>311</v>
      </c>
      <c r="AE23" s="105" t="s">
        <v>311</v>
      </c>
      <c r="AF23" s="106" t="s">
        <v>311</v>
      </c>
      <c r="AG23" s="60" t="s">
        <v>311</v>
      </c>
      <c r="AH23" s="106" t="s">
        <v>311</v>
      </c>
      <c r="AI23" s="60" t="s">
        <v>311</v>
      </c>
      <c r="AJ23" s="103" t="s">
        <v>311</v>
      </c>
      <c r="AK23" s="60" t="s">
        <v>311</v>
      </c>
      <c r="AL23" s="112" t="s">
        <v>311</v>
      </c>
      <c r="AM23" s="60">
        <v>0</v>
      </c>
      <c r="AN23" s="60" t="s">
        <v>311</v>
      </c>
      <c r="AO23" s="60" t="s">
        <v>311</v>
      </c>
      <c r="AP23" s="91"/>
    </row>
    <row r="24" spans="1:42" s="44" customFormat="1" x14ac:dyDescent="0.25">
      <c r="A24" s="60" t="s">
        <v>13</v>
      </c>
      <c r="B24" s="91" t="str">
        <f t="shared" si="0"/>
        <v>Dendroctonus_ponderosae_MF20</v>
      </c>
      <c r="C24" s="100" t="s">
        <v>71</v>
      </c>
      <c r="D24" s="79" t="s">
        <v>280</v>
      </c>
      <c r="E24" s="86" t="s">
        <v>281</v>
      </c>
      <c r="F24" s="60" t="s">
        <v>15</v>
      </c>
      <c r="G24" s="60" t="s">
        <v>16</v>
      </c>
      <c r="H24" s="60" t="s">
        <v>72</v>
      </c>
      <c r="I24" s="60">
        <v>1247</v>
      </c>
      <c r="J24" s="60" t="s">
        <v>27</v>
      </c>
      <c r="K24" s="60" t="s">
        <v>19</v>
      </c>
      <c r="L24" s="60">
        <v>1</v>
      </c>
      <c r="M24" s="101" t="s">
        <v>251</v>
      </c>
      <c r="N24" s="60" t="s">
        <v>282</v>
      </c>
      <c r="O24" s="60">
        <v>1056537</v>
      </c>
      <c r="P24" s="60">
        <v>1060280</v>
      </c>
      <c r="Q24" s="60" t="str">
        <f t="shared" si="1"/>
        <v>1056537..1060280</v>
      </c>
      <c r="R24" s="79" t="s">
        <v>283</v>
      </c>
      <c r="S24" s="91" t="s">
        <v>200</v>
      </c>
      <c r="T24" s="92" t="s">
        <v>284</v>
      </c>
      <c r="U24" s="91" t="s">
        <v>285</v>
      </c>
      <c r="V24" s="90" t="s">
        <v>226</v>
      </c>
      <c r="W24" s="100"/>
      <c r="X24" s="112">
        <v>0</v>
      </c>
      <c r="Y24" s="60" t="s">
        <v>311</v>
      </c>
      <c r="Z24" s="60" t="s">
        <v>311</v>
      </c>
      <c r="AA24" s="107" t="s">
        <v>311</v>
      </c>
      <c r="AB24" s="112" t="s">
        <v>190</v>
      </c>
      <c r="AC24" s="86" t="s">
        <v>311</v>
      </c>
      <c r="AD24" s="104" t="s">
        <v>311</v>
      </c>
      <c r="AE24" s="105" t="s">
        <v>311</v>
      </c>
      <c r="AF24" s="106" t="s">
        <v>311</v>
      </c>
      <c r="AG24" s="60" t="s">
        <v>311</v>
      </c>
      <c r="AH24" s="106" t="s">
        <v>311</v>
      </c>
      <c r="AI24" s="60" t="s">
        <v>311</v>
      </c>
      <c r="AJ24" s="103" t="s">
        <v>311</v>
      </c>
      <c r="AK24" s="60" t="s">
        <v>311</v>
      </c>
      <c r="AL24" s="112" t="s">
        <v>311</v>
      </c>
      <c r="AM24" s="60">
        <v>0</v>
      </c>
      <c r="AN24" s="60" t="s">
        <v>311</v>
      </c>
      <c r="AO24" s="60" t="s">
        <v>311</v>
      </c>
      <c r="AP24" s="91"/>
    </row>
    <row r="25" spans="1:42" s="44" customFormat="1" x14ac:dyDescent="0.25">
      <c r="A25" s="60" t="s">
        <v>13</v>
      </c>
      <c r="B25" s="91" t="str">
        <f t="shared" si="0"/>
        <v>Lutzomyia_longipalpis_SR22</v>
      </c>
      <c r="C25" s="100" t="s">
        <v>104</v>
      </c>
      <c r="D25" s="92" t="s">
        <v>286</v>
      </c>
      <c r="E25" s="86" t="s">
        <v>287</v>
      </c>
      <c r="F25" s="60" t="s">
        <v>15</v>
      </c>
      <c r="G25" s="60" t="s">
        <v>83</v>
      </c>
      <c r="H25" s="60" t="s">
        <v>105</v>
      </c>
      <c r="I25" s="60">
        <v>4722</v>
      </c>
      <c r="J25" s="60" t="s">
        <v>27</v>
      </c>
      <c r="K25" s="60" t="s">
        <v>19</v>
      </c>
      <c r="L25" s="60">
        <v>1</v>
      </c>
      <c r="M25" s="101" t="s">
        <v>251</v>
      </c>
      <c r="N25" s="60" t="s">
        <v>288</v>
      </c>
      <c r="O25" s="60">
        <v>2394985</v>
      </c>
      <c r="P25" s="60">
        <v>2409153</v>
      </c>
      <c r="Q25" s="60" t="str">
        <f t="shared" si="1"/>
        <v>2394985..2409153</v>
      </c>
      <c r="R25" s="79" t="s">
        <v>289</v>
      </c>
      <c r="S25" s="91" t="s">
        <v>216</v>
      </c>
      <c r="T25" s="92" t="s">
        <v>290</v>
      </c>
      <c r="U25" s="92" t="s">
        <v>291</v>
      </c>
      <c r="V25" s="60" t="s">
        <v>203</v>
      </c>
      <c r="W25" s="100"/>
      <c r="X25" s="112">
        <v>0</v>
      </c>
      <c r="Y25" s="60" t="s">
        <v>311</v>
      </c>
      <c r="Z25" s="60" t="s">
        <v>311</v>
      </c>
      <c r="AA25" s="60" t="s">
        <v>311</v>
      </c>
      <c r="AB25" s="112" t="s">
        <v>190</v>
      </c>
      <c r="AC25" s="86" t="s">
        <v>311</v>
      </c>
      <c r="AD25" s="104" t="s">
        <v>311</v>
      </c>
      <c r="AE25" s="105" t="s">
        <v>311</v>
      </c>
      <c r="AF25" s="106" t="s">
        <v>311</v>
      </c>
      <c r="AG25" s="60" t="s">
        <v>311</v>
      </c>
      <c r="AH25" s="106" t="s">
        <v>311</v>
      </c>
      <c r="AI25" s="60" t="s">
        <v>311</v>
      </c>
      <c r="AJ25" s="103" t="s">
        <v>311</v>
      </c>
      <c r="AK25" s="60" t="s">
        <v>311</v>
      </c>
      <c r="AL25" s="112" t="s">
        <v>311</v>
      </c>
      <c r="AM25" s="60">
        <v>0</v>
      </c>
      <c r="AN25" s="60" t="s">
        <v>311</v>
      </c>
      <c r="AO25" s="60"/>
      <c r="AP25" s="91"/>
    </row>
    <row r="26" spans="1:42" s="44" customFormat="1" x14ac:dyDescent="0.25">
      <c r="A26" s="60" t="s">
        <v>13</v>
      </c>
      <c r="B26" s="91" t="str">
        <f t="shared" si="0"/>
        <v>Lutzomyia_longipalpis_SR22</v>
      </c>
      <c r="C26" s="100" t="s">
        <v>104</v>
      </c>
      <c r="D26" s="92" t="s">
        <v>286</v>
      </c>
      <c r="E26" s="86" t="s">
        <v>287</v>
      </c>
      <c r="F26" s="60" t="s">
        <v>15</v>
      </c>
      <c r="G26" s="60" t="s">
        <v>83</v>
      </c>
      <c r="H26" s="60" t="s">
        <v>106</v>
      </c>
      <c r="I26" s="60">
        <v>3560</v>
      </c>
      <c r="J26" s="60" t="s">
        <v>27</v>
      </c>
      <c r="K26" s="60" t="s">
        <v>19</v>
      </c>
      <c r="L26" s="60">
        <v>1</v>
      </c>
      <c r="M26" s="101" t="s">
        <v>251</v>
      </c>
      <c r="N26" s="60" t="s">
        <v>288</v>
      </c>
      <c r="O26" s="60">
        <v>2398409</v>
      </c>
      <c r="P26" s="60">
        <v>2409153</v>
      </c>
      <c r="Q26" s="60" t="str">
        <f>_xlfn.CONCAT(O26,"..",P26)</f>
        <v>2398409..2409153</v>
      </c>
      <c r="R26" s="79" t="s">
        <v>289</v>
      </c>
      <c r="S26" s="91" t="s">
        <v>216</v>
      </c>
      <c r="T26" s="92" t="s">
        <v>290</v>
      </c>
      <c r="U26" s="92" t="s">
        <v>291</v>
      </c>
      <c r="V26" s="60" t="s">
        <v>203</v>
      </c>
      <c r="W26" s="100"/>
      <c r="X26" s="112">
        <v>0</v>
      </c>
      <c r="Y26" s="60" t="s">
        <v>311</v>
      </c>
      <c r="Z26" s="60" t="s">
        <v>311</v>
      </c>
      <c r="AA26" s="60" t="s">
        <v>311</v>
      </c>
      <c r="AB26" s="112" t="s">
        <v>190</v>
      </c>
      <c r="AC26" s="86" t="s">
        <v>311</v>
      </c>
      <c r="AD26" s="104" t="s">
        <v>311</v>
      </c>
      <c r="AE26" s="105" t="s">
        <v>311</v>
      </c>
      <c r="AF26" s="106" t="s">
        <v>311</v>
      </c>
      <c r="AG26" s="60" t="s">
        <v>311</v>
      </c>
      <c r="AH26" s="106" t="s">
        <v>311</v>
      </c>
      <c r="AI26" s="60" t="s">
        <v>311</v>
      </c>
      <c r="AJ26" s="103" t="s">
        <v>311</v>
      </c>
      <c r="AK26" s="60" t="s">
        <v>311</v>
      </c>
      <c r="AL26" s="112" t="s">
        <v>311</v>
      </c>
      <c r="AM26" s="60">
        <v>0</v>
      </c>
      <c r="AN26" s="60" t="s">
        <v>311</v>
      </c>
      <c r="AO26" s="60"/>
      <c r="AP26" s="91"/>
    </row>
    <row r="27" spans="1:42" s="44" customFormat="1" x14ac:dyDescent="0.25">
      <c r="A27" s="60" t="s">
        <v>13</v>
      </c>
      <c r="B27" s="91" t="str">
        <f t="shared" si="0"/>
        <v>Ditylenchus_destructor_GSAUP</v>
      </c>
      <c r="C27" s="86" t="s">
        <v>78</v>
      </c>
      <c r="D27" s="156" t="s">
        <v>593</v>
      </c>
      <c r="E27" s="86" t="s">
        <v>597</v>
      </c>
      <c r="F27" s="60" t="s">
        <v>79</v>
      </c>
      <c r="G27" s="60" t="s">
        <v>79</v>
      </c>
      <c r="H27" s="103" t="s">
        <v>81</v>
      </c>
      <c r="I27" s="60">
        <v>1797</v>
      </c>
      <c r="J27" s="60" t="s">
        <v>27</v>
      </c>
      <c r="K27" s="60" t="s">
        <v>19</v>
      </c>
      <c r="L27" s="60">
        <v>0</v>
      </c>
      <c r="M27" s="60" t="s">
        <v>311</v>
      </c>
      <c r="N27" s="122" t="s">
        <v>595</v>
      </c>
      <c r="O27" s="60">
        <v>77045</v>
      </c>
      <c r="P27" s="60">
        <v>79270</v>
      </c>
      <c r="Q27" s="60" t="str">
        <f t="shared" ref="Q27:Q29" si="2">_xlfn.CONCAT(O27,"..",P27)</f>
        <v>77045..79270</v>
      </c>
      <c r="R27" s="156" t="s">
        <v>594</v>
      </c>
      <c r="S27" s="60"/>
      <c r="T27" s="156" t="s">
        <v>598</v>
      </c>
      <c r="U27" s="100" t="s">
        <v>599</v>
      </c>
      <c r="V27" s="91"/>
      <c r="W27" s="91"/>
      <c r="X27" s="110">
        <v>0</v>
      </c>
      <c r="Y27" s="91"/>
      <c r="Z27" s="103" t="s">
        <v>311</v>
      </c>
      <c r="AA27" s="60" t="s">
        <v>311</v>
      </c>
      <c r="AB27" s="112" t="s">
        <v>190</v>
      </c>
      <c r="AC27" s="86" t="s">
        <v>311</v>
      </c>
      <c r="AD27" s="104" t="s">
        <v>311</v>
      </c>
      <c r="AE27" s="105" t="s">
        <v>311</v>
      </c>
      <c r="AF27" s="106" t="s">
        <v>311</v>
      </c>
      <c r="AG27" s="60" t="s">
        <v>311</v>
      </c>
      <c r="AH27" s="106" t="s">
        <v>311</v>
      </c>
      <c r="AI27" s="60" t="s">
        <v>311</v>
      </c>
      <c r="AJ27" s="103" t="s">
        <v>311</v>
      </c>
      <c r="AK27" s="60" t="s">
        <v>311</v>
      </c>
      <c r="AL27" s="112" t="s">
        <v>311</v>
      </c>
      <c r="AM27" s="60">
        <v>0</v>
      </c>
      <c r="AN27" s="60" t="s">
        <v>311</v>
      </c>
      <c r="AO27" s="91"/>
      <c r="AP27" s="91"/>
    </row>
    <row r="28" spans="1:42" s="44" customFormat="1" x14ac:dyDescent="0.25">
      <c r="A28" s="60" t="s">
        <v>13</v>
      </c>
      <c r="B28" s="91" t="str">
        <f t="shared" si="0"/>
        <v>Pararge_aegeria_aegeria_Psw</v>
      </c>
      <c r="C28" s="86" t="s">
        <v>592</v>
      </c>
      <c r="D28" s="156" t="s">
        <v>601</v>
      </c>
      <c r="E28" s="86" t="s">
        <v>608</v>
      </c>
      <c r="F28" s="60" t="s">
        <v>15</v>
      </c>
      <c r="G28" s="60" t="s">
        <v>25</v>
      </c>
      <c r="H28" s="60" t="s">
        <v>603</v>
      </c>
      <c r="I28" s="60">
        <v>1174</v>
      </c>
      <c r="J28" s="60" t="s">
        <v>18</v>
      </c>
      <c r="K28" s="60" t="s">
        <v>29</v>
      </c>
      <c r="L28" s="60">
        <v>0</v>
      </c>
      <c r="M28" s="60" t="s">
        <v>311</v>
      </c>
      <c r="N28" s="60" t="s">
        <v>603</v>
      </c>
      <c r="O28" s="60">
        <v>6966</v>
      </c>
      <c r="P28" s="60">
        <v>8381</v>
      </c>
      <c r="Q28" s="60" t="str">
        <f t="shared" si="2"/>
        <v>6966..8381</v>
      </c>
      <c r="R28" s="156" t="s">
        <v>602</v>
      </c>
      <c r="S28" s="60"/>
      <c r="T28" s="156" t="s">
        <v>605</v>
      </c>
      <c r="U28" s="91" t="s">
        <v>604</v>
      </c>
      <c r="V28" s="91"/>
      <c r="W28" s="91"/>
      <c r="X28" s="110">
        <v>1</v>
      </c>
      <c r="Y28" s="91"/>
      <c r="Z28" s="103" t="s">
        <v>311</v>
      </c>
      <c r="AA28" s="60" t="s">
        <v>311</v>
      </c>
      <c r="AB28" s="110" t="s">
        <v>226</v>
      </c>
      <c r="AC28" s="86" t="s">
        <v>613</v>
      </c>
      <c r="AD28" s="161">
        <v>1</v>
      </c>
      <c r="AE28" s="162">
        <v>1E-99</v>
      </c>
      <c r="AF28" s="60" t="s">
        <v>614</v>
      </c>
      <c r="AG28" s="91" t="s">
        <v>603</v>
      </c>
      <c r="AH28" s="60">
        <v>7533</v>
      </c>
      <c r="AI28" s="60">
        <v>8123</v>
      </c>
      <c r="AJ28" s="103" t="s">
        <v>138</v>
      </c>
      <c r="AK28" s="60" t="s">
        <v>29</v>
      </c>
      <c r="AL28" s="110">
        <v>0</v>
      </c>
      <c r="AM28" s="60">
        <v>1</v>
      </c>
      <c r="AN28" s="60">
        <v>1</v>
      </c>
      <c r="AO28" s="91"/>
      <c r="AP28" s="91" t="s">
        <v>620</v>
      </c>
    </row>
    <row r="29" spans="1:42" s="159" customFormat="1" x14ac:dyDescent="0.25">
      <c r="A29" s="108" t="s">
        <v>13</v>
      </c>
      <c r="B29" s="123" t="str">
        <f>_xlfn.CONCAT(C29,"_",E29)</f>
        <v>Trichonephila_clavata_Yam55</v>
      </c>
      <c r="C29" s="109" t="s">
        <v>162</v>
      </c>
      <c r="D29" s="157" t="s">
        <v>606</v>
      </c>
      <c r="E29" s="109" t="s">
        <v>612</v>
      </c>
      <c r="F29" s="108" t="s">
        <v>15</v>
      </c>
      <c r="G29" s="108" t="s">
        <v>36</v>
      </c>
      <c r="H29" s="158" t="s">
        <v>167</v>
      </c>
      <c r="I29" s="108">
        <v>216</v>
      </c>
      <c r="J29" s="108" t="s">
        <v>27</v>
      </c>
      <c r="K29" s="108" t="s">
        <v>19</v>
      </c>
      <c r="L29" s="108">
        <v>0</v>
      </c>
      <c r="M29" s="108" t="s">
        <v>311</v>
      </c>
      <c r="N29" s="108" t="s">
        <v>607</v>
      </c>
      <c r="O29" s="108">
        <v>29782</v>
      </c>
      <c r="P29" s="108">
        <v>29900</v>
      </c>
      <c r="Q29" s="108" t="str">
        <f t="shared" si="2"/>
        <v>29782..29900</v>
      </c>
      <c r="R29" s="157" t="s">
        <v>609</v>
      </c>
      <c r="S29" s="108"/>
      <c r="T29" s="123" t="s">
        <v>611</v>
      </c>
      <c r="U29" s="124" t="s">
        <v>610</v>
      </c>
      <c r="V29" s="123"/>
      <c r="W29" s="123"/>
      <c r="X29" s="160">
        <v>1</v>
      </c>
      <c r="Y29" s="123"/>
      <c r="Z29" s="108">
        <v>0</v>
      </c>
      <c r="AA29" s="123">
        <v>0</v>
      </c>
      <c r="AB29" s="160" t="s">
        <v>226</v>
      </c>
      <c r="AC29" s="109" t="s">
        <v>616</v>
      </c>
      <c r="AD29" s="164">
        <v>1</v>
      </c>
      <c r="AE29" s="165">
        <v>9.9999999999999991E-146</v>
      </c>
      <c r="AF29" s="108" t="s">
        <v>617</v>
      </c>
      <c r="AG29" s="123" t="s">
        <v>615</v>
      </c>
      <c r="AH29" s="108">
        <v>24574</v>
      </c>
      <c r="AI29" s="108">
        <v>25314</v>
      </c>
      <c r="AJ29" s="158" t="s">
        <v>618</v>
      </c>
      <c r="AK29" s="108" t="s">
        <v>19</v>
      </c>
      <c r="AL29" s="160">
        <v>0</v>
      </c>
      <c r="AM29" s="108">
        <v>1</v>
      </c>
      <c r="AN29" s="166">
        <v>0</v>
      </c>
      <c r="AO29" s="123"/>
      <c r="AP29" s="123" t="s">
        <v>619</v>
      </c>
    </row>
    <row r="30" spans="1:42" x14ac:dyDescent="0.25">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2"/>
      <c r="AD30" s="43"/>
      <c r="AE30" s="43"/>
      <c r="AF30" s="43"/>
      <c r="AG30" s="44"/>
      <c r="AH30" s="44"/>
      <c r="AI30" s="44"/>
      <c r="AJ30" s="43"/>
      <c r="AK30" s="44"/>
      <c r="AL30" s="44"/>
      <c r="AM30" s="44"/>
      <c r="AN30" s="44"/>
      <c r="AO30" s="44"/>
      <c r="AP30" s="44"/>
    </row>
    <row r="31" spans="1:42" x14ac:dyDescent="0.25">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2"/>
      <c r="AD31" s="43"/>
      <c r="AE31" s="43"/>
      <c r="AF31" s="43"/>
      <c r="AG31" s="44"/>
      <c r="AH31" s="44"/>
      <c r="AI31" s="44"/>
      <c r="AJ31" s="43"/>
      <c r="AK31" s="44"/>
      <c r="AL31" s="44"/>
      <c r="AM31" s="44"/>
      <c r="AN31" s="44"/>
      <c r="AO31" s="44"/>
      <c r="AP31" s="44"/>
    </row>
    <row r="32" spans="1:42" x14ac:dyDescent="0.25">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2"/>
      <c r="AD32" s="43"/>
      <c r="AE32" s="43"/>
      <c r="AF32" s="43"/>
      <c r="AG32" s="44"/>
      <c r="AH32" s="44"/>
      <c r="AI32" s="44"/>
      <c r="AJ32" s="43"/>
      <c r="AK32" s="44"/>
      <c r="AL32" s="44"/>
      <c r="AM32" s="44"/>
      <c r="AN32" s="44"/>
      <c r="AO32" s="44"/>
      <c r="AP32" s="44"/>
    </row>
    <row r="33" spans="1:42" x14ac:dyDescent="0.25">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2"/>
      <c r="AD33" s="43"/>
      <c r="AE33" s="43"/>
      <c r="AF33" s="43"/>
      <c r="AG33" s="44"/>
      <c r="AH33" s="44"/>
      <c r="AI33" s="44"/>
      <c r="AJ33" s="43"/>
      <c r="AK33" s="44"/>
      <c r="AL33" s="44"/>
      <c r="AM33" s="44"/>
      <c r="AN33" s="44"/>
      <c r="AO33" s="44"/>
      <c r="AP33" s="44"/>
    </row>
    <row r="34" spans="1:42" x14ac:dyDescent="0.25">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2"/>
      <c r="AD34" s="43"/>
      <c r="AE34" s="43"/>
      <c r="AF34" s="43"/>
      <c r="AG34" s="44"/>
      <c r="AH34" s="44"/>
      <c r="AI34" s="44"/>
      <c r="AJ34" s="43"/>
      <c r="AK34" s="44"/>
      <c r="AL34" s="44"/>
      <c r="AM34" s="44"/>
      <c r="AN34" s="44"/>
      <c r="AO34" s="44"/>
      <c r="AP34" s="44"/>
    </row>
  </sheetData>
  <mergeCells count="4">
    <mergeCell ref="AL1:AP1"/>
    <mergeCell ref="A1:W1"/>
    <mergeCell ref="X1:AA1"/>
    <mergeCell ref="AB1:AJ1"/>
  </mergeCells>
  <conditionalFormatting sqref="X3:Z26 AO25:AO26 AM3:AM26 Z27:Z28 X27:X29 AO3:AO18">
    <cfRule type="cellIs" dxfId="13" priority="14" operator="equal">
      <formula>1</formula>
    </cfRule>
  </conditionalFormatting>
  <conditionalFormatting sqref="AN3:AN18">
    <cfRule type="cellIs" dxfId="12" priority="13" operator="equal">
      <formula>1</formula>
    </cfRule>
  </conditionalFormatting>
  <conditionalFormatting sqref="AN19:AO24 AN25:AN26">
    <cfRule type="cellIs" dxfId="11" priority="12" operator="equal">
      <formula>1</formula>
    </cfRule>
  </conditionalFormatting>
  <conditionalFormatting sqref="AL3:AL18">
    <cfRule type="cellIs" dxfId="10" priority="10" operator="equal">
      <formula>1</formula>
    </cfRule>
    <cfRule type="cellIs" dxfId="9" priority="11" operator="equal">
      <formula>1</formula>
    </cfRule>
  </conditionalFormatting>
  <conditionalFormatting sqref="Z29">
    <cfRule type="cellIs" dxfId="8" priority="9" operator="equal">
      <formula>1</formula>
    </cfRule>
  </conditionalFormatting>
  <conditionalFormatting sqref="AM27">
    <cfRule type="cellIs" dxfId="7" priority="8" operator="equal">
      <formula>1</formula>
    </cfRule>
  </conditionalFormatting>
  <conditionalFormatting sqref="AN27">
    <cfRule type="cellIs" dxfId="6" priority="7" operator="equal">
      <formula>1</formula>
    </cfRule>
  </conditionalFormatting>
  <conditionalFormatting sqref="AM28:AM29">
    <cfRule type="cellIs" dxfId="5" priority="6" operator="equal">
      <formula>1</formula>
    </cfRule>
  </conditionalFormatting>
  <conditionalFormatting sqref="AN28:AN29">
    <cfRule type="cellIs" dxfId="4" priority="5" operator="equal">
      <formula>1</formula>
    </cfRule>
  </conditionalFormatting>
  <conditionalFormatting sqref="AL28:AL29">
    <cfRule type="cellIs" dxfId="3" priority="3" operator="equal">
      <formula>1</formula>
    </cfRule>
    <cfRule type="cellIs" dxfId="2" priority="4" operator="equal">
      <formula>1</formula>
    </cfRule>
  </conditionalFormatting>
  <conditionalFormatting sqref="AK3:AK18">
    <cfRule type="cellIs" dxfId="1" priority="2" operator="equal">
      <formula>1</formula>
    </cfRule>
  </conditionalFormatting>
  <conditionalFormatting sqref="AK19:AK27">
    <cfRule type="cellIs" dxfId="0" priority="1" operator="equal">
      <formula>1</formula>
    </cfRule>
  </conditionalFormatting>
  <hyperlinks>
    <hyperlink ref="D3" r:id="rId1" xr:uid="{DC07B0F2-F1EC-4545-8ACF-9515736A9202}"/>
    <hyperlink ref="R3" r:id="rId2" xr:uid="{3BFC1BB8-D8F5-4DAE-BFDC-DCCFBC55F797}"/>
    <hyperlink ref="T3" r:id="rId3" xr:uid="{9832B1D6-757B-49EC-BC44-B3085379D387}"/>
    <hyperlink ref="D4" r:id="rId4" xr:uid="{4B8BCE39-B3EF-45D1-A2F6-886DCCE7D617}"/>
    <hyperlink ref="R4" r:id="rId5" xr:uid="{7B952F4D-37EA-4A9A-B3C3-A631F659CF9F}"/>
    <hyperlink ref="T4" r:id="rId6" xr:uid="{19519126-08E1-4F72-A7B5-185169815C03}"/>
    <hyperlink ref="D5" r:id="rId7" xr:uid="{FD2C4C2D-1360-4BD5-ADC4-B38F276D71C2}"/>
    <hyperlink ref="R5" r:id="rId8" xr:uid="{6DFB96F5-8201-422A-A946-8B1698E7522E}"/>
    <hyperlink ref="T5" r:id="rId9" xr:uid="{0FE580BB-D7F4-4806-A76E-C1093D62D9C5}"/>
    <hyperlink ref="D6" r:id="rId10" xr:uid="{1241D0E2-74B9-4270-BA6E-76F96DADA3DE}"/>
    <hyperlink ref="R6" r:id="rId11" xr:uid="{41D724D1-766A-4377-A7C3-1945971CE285}"/>
    <hyperlink ref="T6" r:id="rId12" xr:uid="{31EFFAF8-6A0C-4454-96ED-784A18BD89EE}"/>
    <hyperlink ref="D7" r:id="rId13" xr:uid="{54593D53-0955-4A04-84F0-37B00707ED8F}"/>
    <hyperlink ref="R7" r:id="rId14" xr:uid="{8B00BCB0-15BD-4026-840F-95A26896EF0D}"/>
    <hyperlink ref="D8" r:id="rId15" xr:uid="{98E9FC02-B3F8-424B-8197-EAF4C6FC4094}"/>
    <hyperlink ref="R8" r:id="rId16" xr:uid="{F7214DA0-223B-4C30-A309-7CA4FFD916A3}"/>
    <hyperlink ref="D9" r:id="rId17" xr:uid="{9EA89529-D2ED-44C6-B4B4-5E23354909F7}"/>
    <hyperlink ref="R9" r:id="rId18" xr:uid="{E9A25288-8F48-47FA-B2E9-FDAB89760517}"/>
    <hyperlink ref="D10" r:id="rId19" xr:uid="{E54768B9-AFA2-4242-B1F8-9D34729591CE}"/>
    <hyperlink ref="N10" r:id="rId20" xr:uid="{208B963B-9A63-4FB6-A43A-2490A6E73160}"/>
    <hyperlink ref="R10" r:id="rId21" xr:uid="{B921208A-8651-4B1D-ADFF-AB0894DCFFC4}"/>
    <hyperlink ref="D11" r:id="rId22" xr:uid="{AA14B985-F5AC-4FE5-BC28-E6587BFED181}"/>
    <hyperlink ref="N11" r:id="rId23" xr:uid="{4E72E328-8C04-4759-A9FF-D9A4075D7437}"/>
    <hyperlink ref="R11" r:id="rId24" xr:uid="{72B4B3B5-8F56-4CAE-B9F1-5F1094272AB0}"/>
    <hyperlink ref="D12" r:id="rId25" xr:uid="{26E864B2-957F-4355-A8A9-4881CDB83821}"/>
    <hyperlink ref="R12" r:id="rId26" xr:uid="{0A366392-97CD-49D6-840D-42258BE776CA}"/>
    <hyperlink ref="D13" r:id="rId27" xr:uid="{150EC86E-9109-4126-AF61-E4EB7CB35D5A}"/>
    <hyperlink ref="R13" r:id="rId28" xr:uid="{3D82E0FC-0C43-464D-A6B6-E1FB34BADC4E}"/>
    <hyperlink ref="D14" r:id="rId29" xr:uid="{CC296AA1-3558-4D5B-91ED-0C0DED411425}"/>
    <hyperlink ref="R14" r:id="rId30" xr:uid="{F2F37D01-61D3-4AAE-8F0E-2C178A8C2AE7}"/>
    <hyperlink ref="D15" r:id="rId31" xr:uid="{08A7DDAC-CE74-44D1-A6BF-35EE7DD2C75C}"/>
    <hyperlink ref="R15" r:id="rId32" xr:uid="{7B0BD779-D8DC-45AF-8965-600FA97CE057}"/>
    <hyperlink ref="D16" r:id="rId33" xr:uid="{DD93D584-6F35-49F6-8A99-AF51BD6CE82B}"/>
    <hyperlink ref="R16" r:id="rId34" xr:uid="{75B35209-EF5E-481C-8784-A5523AA27ACC}"/>
    <hyperlink ref="D17" r:id="rId35" xr:uid="{8F24B2FA-426A-4B3D-BC01-8281EDC89A0F}"/>
    <hyperlink ref="R17" r:id="rId36" xr:uid="{0A76EB0F-9C5A-4359-B699-1B4CD5359779}"/>
    <hyperlink ref="U17" r:id="rId37" xr:uid="{4B194BF6-E7D5-49D8-A1B4-053CA4977001}"/>
    <hyperlink ref="D18" r:id="rId38" xr:uid="{1C5FA613-506F-40EC-835A-A856C472852B}"/>
    <hyperlink ref="R18" r:id="rId39" xr:uid="{D9023A28-DEE1-4C43-873A-7437EA6DD525}"/>
    <hyperlink ref="D19" r:id="rId40" xr:uid="{20642974-C789-4CAB-9656-DE6DFD09C879}"/>
    <hyperlink ref="R19" r:id="rId41" xr:uid="{6916A98C-8173-4388-A10C-B0F98781B211}"/>
    <hyperlink ref="U19" r:id="rId42" xr:uid="{0BEEA088-0CAA-4850-9394-4AD73400EA2A}"/>
    <hyperlink ref="D20" r:id="rId43" xr:uid="{7D6CC289-9C07-4587-9663-74733169C4AE}"/>
    <hyperlink ref="R20" r:id="rId44" xr:uid="{AEA5D3AC-54C7-4D9F-AEEA-4FCCEF66CDB0}"/>
    <hyperlink ref="T20" r:id="rId45" xr:uid="{7FFA6349-088C-46D8-AF98-DD0AC71BCB93}"/>
    <hyperlink ref="R21" r:id="rId46" xr:uid="{972A5787-6B55-4B59-AE57-C01D97387FC6}"/>
    <hyperlink ref="T21" r:id="rId47" xr:uid="{BE65A51A-741B-4ED6-AF39-F1B384A00A81}"/>
    <hyperlink ref="R22" r:id="rId48" xr:uid="{97742672-989B-4A08-AEA7-72E246531AFF}"/>
    <hyperlink ref="T22" r:id="rId49" xr:uid="{D0B2DF68-6183-4A8D-AF43-BE0F7CA73EB9}"/>
    <hyperlink ref="R23" r:id="rId50" xr:uid="{02222B7C-85B4-44D3-939C-A0194E86065A}"/>
    <hyperlink ref="T23" r:id="rId51" xr:uid="{4EA5B801-DF67-4D8C-92E4-982209FC4194}"/>
    <hyperlink ref="D24" r:id="rId52" xr:uid="{0C280B5E-7186-454B-9790-F90CEAB4843C}"/>
    <hyperlink ref="R24" r:id="rId53" xr:uid="{769E7D4D-B071-49E9-B2E0-BAD436B13BCE}"/>
    <hyperlink ref="T24" r:id="rId54" xr:uid="{BCD53DB2-2091-48AF-8299-CF641B3B9FBE}"/>
    <hyperlink ref="D25" r:id="rId55" xr:uid="{3FD8C3B4-A05C-4BE2-8178-F6EA5D918BCB}"/>
    <hyperlink ref="R25" r:id="rId56" xr:uid="{F7F1D623-EA9F-4CA7-AB44-3F622FCF2547}"/>
    <hyperlink ref="T25" r:id="rId57" xr:uid="{645D2706-60C0-466D-BF58-6A910946875D}"/>
    <hyperlink ref="U25" r:id="rId58" xr:uid="{E771E299-6C6C-4A5F-B7AC-7B2838BA6806}"/>
    <hyperlink ref="D26" r:id="rId59" xr:uid="{4269CFB7-45F3-45AB-8D15-5C8C506D83D3}"/>
    <hyperlink ref="R26" r:id="rId60" xr:uid="{AE8D4704-2DF7-4A42-8C15-AFE25FCE3CC3}"/>
    <hyperlink ref="T26" r:id="rId61" xr:uid="{C24044FE-73B7-43F9-8094-FD3ADA837853}"/>
    <hyperlink ref="U26" r:id="rId62" xr:uid="{1288041C-E365-4CD4-B4CA-7563010306EF}"/>
    <hyperlink ref="R27" r:id="rId63" display="https://www.ncbi.nlm.nih.gov/bioproject/PRJNA800207" xr:uid="{B1FEFBCA-5E69-4031-A294-A45DE38A009E}"/>
    <hyperlink ref="R28" r:id="rId64" display="https://www.ncbi.nlm.nih.gov/bioproject/PRJEB49416" xr:uid="{E37FB5F8-E070-4911-BA53-8F121400DCD5}"/>
    <hyperlink ref="R29" r:id="rId65" display="https://www.ncbi.nlm.nih.gov/bioproject/PRJDB10007" xr:uid="{F91CEA02-701B-4514-A4D3-4DBAB48343E4}"/>
    <hyperlink ref="T27" r:id="rId66" display="https://www.ncbi.nlm.nih.gov/datasets/genome/GCA_022814895.1/" xr:uid="{1B01B4B3-AC26-4172-A9A2-FAEBFE5EE9A7}"/>
    <hyperlink ref="T28" r:id="rId67" display="https://www.ncbi.nlm.nih.gov/datasets/genome/GCA_934870175.1/" xr:uid="{D450432E-ABFA-42F0-A9A1-D29D783C16CC}"/>
    <hyperlink ref="H11" r:id="rId68" xr:uid="{0C9D92AF-8DCB-4611-9577-98D8A19A665C}"/>
  </hyperlinks>
  <pageMargins left="0.7" right="0.7" top="0.75" bottom="0.75" header="0.3" footer="0.3"/>
  <pageSetup paperSize="9" orientation="portrait" r:id="rId6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258BD-39C2-4725-985C-F3871EAB3EFA}">
  <dimension ref="A1:L322"/>
  <sheetViews>
    <sheetView topLeftCell="A163" workbookViewId="0">
      <selection activeCell="C36" sqref="C36"/>
    </sheetView>
  </sheetViews>
  <sheetFormatPr baseColWidth="10" defaultRowHeight="15" x14ac:dyDescent="0.25"/>
  <cols>
    <col min="3" max="3" width="15.85546875" bestFit="1" customWidth="1"/>
  </cols>
  <sheetData>
    <row r="1" spans="1:9" x14ac:dyDescent="0.25">
      <c r="A1" t="s">
        <v>8</v>
      </c>
      <c r="B1" t="s">
        <v>381</v>
      </c>
      <c r="C1" t="s">
        <v>382</v>
      </c>
      <c r="D1" t="s">
        <v>383</v>
      </c>
      <c r="E1" t="s">
        <v>12</v>
      </c>
      <c r="F1" t="s">
        <v>384</v>
      </c>
      <c r="G1" t="s">
        <v>385</v>
      </c>
      <c r="H1" t="s">
        <v>386</v>
      </c>
      <c r="I1" t="s">
        <v>387</v>
      </c>
    </row>
    <row r="2" spans="1:9" x14ac:dyDescent="0.25">
      <c r="A2" t="s">
        <v>388</v>
      </c>
      <c r="B2" t="s">
        <v>389</v>
      </c>
      <c r="D2">
        <v>0</v>
      </c>
      <c r="E2">
        <v>0</v>
      </c>
      <c r="F2">
        <v>156</v>
      </c>
      <c r="G2" t="s">
        <v>390</v>
      </c>
      <c r="H2">
        <v>42</v>
      </c>
      <c r="I2">
        <v>135</v>
      </c>
    </row>
    <row r="3" spans="1:9" x14ac:dyDescent="0.25">
      <c r="A3" t="s">
        <v>388</v>
      </c>
      <c r="B3" t="s">
        <v>391</v>
      </c>
      <c r="D3">
        <v>0</v>
      </c>
      <c r="E3">
        <v>0</v>
      </c>
      <c r="F3">
        <v>166</v>
      </c>
      <c r="G3" t="s">
        <v>392</v>
      </c>
      <c r="H3">
        <v>274</v>
      </c>
      <c r="I3">
        <v>166</v>
      </c>
    </row>
    <row r="4" spans="1:9" x14ac:dyDescent="0.25">
      <c r="A4" t="s">
        <v>388</v>
      </c>
      <c r="B4" t="s">
        <v>393</v>
      </c>
      <c r="C4" t="s">
        <v>26</v>
      </c>
      <c r="D4">
        <v>1</v>
      </c>
      <c r="E4">
        <v>1</v>
      </c>
      <c r="F4">
        <v>733</v>
      </c>
      <c r="G4" t="s">
        <v>390</v>
      </c>
      <c r="H4">
        <v>15</v>
      </c>
      <c r="I4">
        <v>145</v>
      </c>
    </row>
    <row r="5" spans="1:9" x14ac:dyDescent="0.25">
      <c r="A5" t="s">
        <v>388</v>
      </c>
      <c r="B5" t="s">
        <v>393</v>
      </c>
      <c r="C5" t="s">
        <v>26</v>
      </c>
      <c r="D5">
        <v>1</v>
      </c>
      <c r="E5">
        <v>1</v>
      </c>
      <c r="F5">
        <v>733</v>
      </c>
      <c r="G5" t="s">
        <v>392</v>
      </c>
      <c r="H5">
        <v>222</v>
      </c>
      <c r="I5">
        <v>320</v>
      </c>
    </row>
    <row r="6" spans="1:9" x14ac:dyDescent="0.25">
      <c r="A6" t="s">
        <v>388</v>
      </c>
      <c r="B6" t="s">
        <v>393</v>
      </c>
      <c r="C6" t="s">
        <v>26</v>
      </c>
      <c r="D6">
        <v>1</v>
      </c>
      <c r="E6">
        <v>1</v>
      </c>
      <c r="F6">
        <v>733</v>
      </c>
      <c r="G6" t="s">
        <v>392</v>
      </c>
      <c r="H6">
        <v>578</v>
      </c>
      <c r="I6">
        <v>686</v>
      </c>
    </row>
    <row r="7" spans="1:9" x14ac:dyDescent="0.25">
      <c r="A7" t="s">
        <v>388</v>
      </c>
      <c r="B7" t="s">
        <v>393</v>
      </c>
      <c r="C7" t="s">
        <v>26</v>
      </c>
      <c r="D7">
        <v>1</v>
      </c>
      <c r="E7">
        <v>1</v>
      </c>
      <c r="F7">
        <v>733</v>
      </c>
      <c r="G7" t="s">
        <v>394</v>
      </c>
      <c r="H7">
        <v>273</v>
      </c>
      <c r="I7" t="s">
        <v>311</v>
      </c>
    </row>
    <row r="8" spans="1:9" x14ac:dyDescent="0.25">
      <c r="A8" t="s">
        <v>388</v>
      </c>
      <c r="B8" t="s">
        <v>393</v>
      </c>
      <c r="C8" t="s">
        <v>26</v>
      </c>
      <c r="D8">
        <v>1</v>
      </c>
      <c r="E8">
        <v>1</v>
      </c>
      <c r="F8">
        <v>733</v>
      </c>
      <c r="G8" t="s">
        <v>394</v>
      </c>
      <c r="H8">
        <v>396</v>
      </c>
      <c r="I8" t="s">
        <v>311</v>
      </c>
    </row>
    <row r="9" spans="1:9" x14ac:dyDescent="0.25">
      <c r="A9" t="s">
        <v>388</v>
      </c>
      <c r="B9" t="s">
        <v>393</v>
      </c>
      <c r="C9" t="s">
        <v>26</v>
      </c>
      <c r="D9">
        <v>1</v>
      </c>
      <c r="E9">
        <v>1</v>
      </c>
      <c r="F9">
        <v>733</v>
      </c>
      <c r="G9" t="s">
        <v>394</v>
      </c>
      <c r="H9">
        <v>437</v>
      </c>
      <c r="I9" t="s">
        <v>311</v>
      </c>
    </row>
    <row r="10" spans="1:9" x14ac:dyDescent="0.25">
      <c r="A10" t="s">
        <v>388</v>
      </c>
      <c r="B10" t="s">
        <v>395</v>
      </c>
      <c r="D10">
        <v>0</v>
      </c>
      <c r="E10">
        <v>0</v>
      </c>
      <c r="F10">
        <v>178</v>
      </c>
      <c r="G10" t="s">
        <v>392</v>
      </c>
      <c r="H10">
        <v>30</v>
      </c>
      <c r="I10">
        <v>127</v>
      </c>
    </row>
    <row r="11" spans="1:9" x14ac:dyDescent="0.25">
      <c r="A11" t="s">
        <v>388</v>
      </c>
      <c r="B11" t="s">
        <v>396</v>
      </c>
      <c r="D11">
        <v>0</v>
      </c>
      <c r="E11">
        <v>0</v>
      </c>
      <c r="F11">
        <v>607</v>
      </c>
      <c r="G11" t="s">
        <v>390</v>
      </c>
      <c r="H11">
        <v>1</v>
      </c>
      <c r="I11">
        <v>227</v>
      </c>
    </row>
    <row r="12" spans="1:9" x14ac:dyDescent="0.25">
      <c r="A12" t="s">
        <v>388</v>
      </c>
      <c r="B12" t="s">
        <v>396</v>
      </c>
      <c r="D12">
        <v>0</v>
      </c>
      <c r="E12">
        <v>0</v>
      </c>
      <c r="F12">
        <v>607</v>
      </c>
      <c r="G12" t="s">
        <v>392</v>
      </c>
      <c r="H12">
        <v>458</v>
      </c>
      <c r="I12">
        <v>556</v>
      </c>
    </row>
    <row r="13" spans="1:9" x14ac:dyDescent="0.25">
      <c r="A13" t="s">
        <v>388</v>
      </c>
      <c r="B13" t="s">
        <v>397</v>
      </c>
      <c r="D13">
        <v>0</v>
      </c>
      <c r="E13">
        <v>0</v>
      </c>
      <c r="F13">
        <v>3347</v>
      </c>
      <c r="G13" t="s">
        <v>390</v>
      </c>
      <c r="H13">
        <v>729</v>
      </c>
      <c r="I13">
        <v>765</v>
      </c>
    </row>
    <row r="14" spans="1:9" x14ac:dyDescent="0.25">
      <c r="A14" t="s">
        <v>388</v>
      </c>
      <c r="B14" t="s">
        <v>397</v>
      </c>
      <c r="D14">
        <v>0</v>
      </c>
      <c r="E14">
        <v>0</v>
      </c>
      <c r="F14">
        <v>3347</v>
      </c>
      <c r="G14" t="s">
        <v>398</v>
      </c>
      <c r="H14">
        <v>58</v>
      </c>
      <c r="I14">
        <v>132</v>
      </c>
    </row>
    <row r="15" spans="1:9" x14ac:dyDescent="0.25">
      <c r="A15" t="s">
        <v>388</v>
      </c>
      <c r="B15" t="s">
        <v>397</v>
      </c>
      <c r="D15">
        <v>0</v>
      </c>
      <c r="E15">
        <v>0</v>
      </c>
      <c r="F15">
        <v>3347</v>
      </c>
      <c r="G15" t="s">
        <v>399</v>
      </c>
      <c r="H15">
        <v>2273</v>
      </c>
      <c r="I15">
        <v>2739</v>
      </c>
    </row>
    <row r="16" spans="1:9" x14ac:dyDescent="0.25">
      <c r="A16" t="s">
        <v>388</v>
      </c>
      <c r="B16" t="s">
        <v>397</v>
      </c>
      <c r="D16">
        <v>0</v>
      </c>
      <c r="E16">
        <v>0</v>
      </c>
      <c r="F16">
        <v>3347</v>
      </c>
      <c r="G16" t="s">
        <v>400</v>
      </c>
      <c r="H16">
        <v>2814</v>
      </c>
      <c r="I16">
        <v>2886</v>
      </c>
    </row>
    <row r="17" spans="1:9" x14ac:dyDescent="0.25">
      <c r="A17" t="s">
        <v>388</v>
      </c>
      <c r="B17" t="s">
        <v>397</v>
      </c>
      <c r="D17">
        <v>0</v>
      </c>
      <c r="E17">
        <v>0</v>
      </c>
      <c r="F17">
        <v>3347</v>
      </c>
      <c r="G17" t="s">
        <v>401</v>
      </c>
      <c r="H17">
        <v>1881</v>
      </c>
      <c r="I17">
        <v>2075</v>
      </c>
    </row>
    <row r="18" spans="1:9" x14ac:dyDescent="0.25">
      <c r="A18" t="s">
        <v>388</v>
      </c>
      <c r="B18" t="s">
        <v>397</v>
      </c>
      <c r="D18">
        <v>0</v>
      </c>
      <c r="E18">
        <v>0</v>
      </c>
      <c r="F18">
        <v>3347</v>
      </c>
      <c r="G18" t="s">
        <v>402</v>
      </c>
      <c r="H18">
        <v>188</v>
      </c>
      <c r="I18">
        <v>324</v>
      </c>
    </row>
    <row r="19" spans="1:9" x14ac:dyDescent="0.25">
      <c r="A19" t="s">
        <v>388</v>
      </c>
      <c r="B19" t="s">
        <v>397</v>
      </c>
      <c r="D19">
        <v>0</v>
      </c>
      <c r="E19">
        <v>0</v>
      </c>
      <c r="F19">
        <v>3347</v>
      </c>
      <c r="G19" t="s">
        <v>402</v>
      </c>
      <c r="H19">
        <v>1253</v>
      </c>
      <c r="I19">
        <v>1596</v>
      </c>
    </row>
    <row r="20" spans="1:9" x14ac:dyDescent="0.25">
      <c r="A20" t="s">
        <v>388</v>
      </c>
      <c r="B20" t="s">
        <v>403</v>
      </c>
      <c r="C20" t="s">
        <v>41</v>
      </c>
      <c r="D20">
        <v>1</v>
      </c>
      <c r="E20">
        <v>1</v>
      </c>
      <c r="F20">
        <v>1820</v>
      </c>
      <c r="G20" t="s">
        <v>390</v>
      </c>
      <c r="H20">
        <v>13</v>
      </c>
      <c r="I20">
        <v>92</v>
      </c>
    </row>
    <row r="21" spans="1:9" x14ac:dyDescent="0.25">
      <c r="A21" t="s">
        <v>388</v>
      </c>
      <c r="B21" t="s">
        <v>403</v>
      </c>
      <c r="C21" t="s">
        <v>41</v>
      </c>
      <c r="D21">
        <v>1</v>
      </c>
      <c r="E21">
        <v>1</v>
      </c>
      <c r="F21">
        <v>1820</v>
      </c>
      <c r="G21" t="s">
        <v>392</v>
      </c>
      <c r="H21">
        <v>253</v>
      </c>
      <c r="I21">
        <v>346</v>
      </c>
    </row>
    <row r="22" spans="1:9" x14ac:dyDescent="0.25">
      <c r="A22" t="s">
        <v>388</v>
      </c>
      <c r="B22" t="s">
        <v>403</v>
      </c>
      <c r="C22" t="s">
        <v>41</v>
      </c>
      <c r="D22">
        <v>1</v>
      </c>
      <c r="E22">
        <v>1</v>
      </c>
      <c r="F22">
        <v>1820</v>
      </c>
      <c r="G22" t="s">
        <v>392</v>
      </c>
      <c r="H22">
        <v>571</v>
      </c>
      <c r="I22">
        <v>664</v>
      </c>
    </row>
    <row r="23" spans="1:9" x14ac:dyDescent="0.25">
      <c r="A23" t="s">
        <v>388</v>
      </c>
      <c r="B23" t="s">
        <v>403</v>
      </c>
      <c r="C23" t="s">
        <v>41</v>
      </c>
      <c r="D23">
        <v>1</v>
      </c>
      <c r="E23">
        <v>1</v>
      </c>
      <c r="F23">
        <v>1820</v>
      </c>
      <c r="G23" t="s">
        <v>401</v>
      </c>
      <c r="H23">
        <v>1194</v>
      </c>
      <c r="I23">
        <v>1526</v>
      </c>
    </row>
    <row r="24" spans="1:9" x14ac:dyDescent="0.25">
      <c r="A24" t="s">
        <v>388</v>
      </c>
      <c r="B24" t="s">
        <v>404</v>
      </c>
      <c r="D24">
        <v>0</v>
      </c>
      <c r="E24">
        <v>0</v>
      </c>
      <c r="F24">
        <v>347</v>
      </c>
      <c r="G24" t="s">
        <v>390</v>
      </c>
      <c r="H24">
        <v>9</v>
      </c>
      <c r="I24">
        <v>130</v>
      </c>
    </row>
    <row r="25" spans="1:9" x14ac:dyDescent="0.25">
      <c r="A25" t="s">
        <v>388</v>
      </c>
      <c r="B25" t="s">
        <v>404</v>
      </c>
      <c r="D25">
        <v>0</v>
      </c>
      <c r="E25">
        <v>0</v>
      </c>
      <c r="F25">
        <v>347</v>
      </c>
      <c r="G25" t="s">
        <v>392</v>
      </c>
      <c r="H25">
        <v>232</v>
      </c>
      <c r="I25">
        <v>313</v>
      </c>
    </row>
    <row r="26" spans="1:9" x14ac:dyDescent="0.25">
      <c r="A26" t="s">
        <v>388</v>
      </c>
      <c r="B26" t="s">
        <v>404</v>
      </c>
      <c r="D26">
        <v>0</v>
      </c>
      <c r="E26">
        <v>0</v>
      </c>
      <c r="F26">
        <v>347</v>
      </c>
      <c r="G26" t="s">
        <v>394</v>
      </c>
      <c r="H26">
        <v>301</v>
      </c>
      <c r="I26" t="s">
        <v>311</v>
      </c>
    </row>
    <row r="27" spans="1:9" x14ac:dyDescent="0.25">
      <c r="A27" t="s">
        <v>388</v>
      </c>
      <c r="B27" t="s">
        <v>404</v>
      </c>
      <c r="D27">
        <v>0</v>
      </c>
      <c r="E27">
        <v>0</v>
      </c>
      <c r="F27">
        <v>347</v>
      </c>
      <c r="G27" t="s">
        <v>394</v>
      </c>
      <c r="H27">
        <v>330</v>
      </c>
      <c r="I27" t="s">
        <v>311</v>
      </c>
    </row>
    <row r="28" spans="1:9" x14ac:dyDescent="0.25">
      <c r="A28" t="s">
        <v>388</v>
      </c>
      <c r="B28" t="s">
        <v>404</v>
      </c>
      <c r="D28">
        <v>0</v>
      </c>
      <c r="E28">
        <v>0</v>
      </c>
      <c r="F28">
        <v>347</v>
      </c>
      <c r="G28" t="s">
        <v>394</v>
      </c>
      <c r="H28">
        <v>340</v>
      </c>
      <c r="I28" t="s">
        <v>311</v>
      </c>
    </row>
    <row r="29" spans="1:9" x14ac:dyDescent="0.25">
      <c r="A29" t="s">
        <v>388</v>
      </c>
      <c r="B29" t="s">
        <v>405</v>
      </c>
      <c r="C29" t="s">
        <v>76</v>
      </c>
      <c r="D29">
        <v>1</v>
      </c>
      <c r="E29">
        <v>1</v>
      </c>
      <c r="F29">
        <v>4507</v>
      </c>
      <c r="G29" t="s">
        <v>390</v>
      </c>
      <c r="H29">
        <v>3423</v>
      </c>
      <c r="I29">
        <v>3579</v>
      </c>
    </row>
    <row r="30" spans="1:9" x14ac:dyDescent="0.25">
      <c r="A30" t="s">
        <v>388</v>
      </c>
      <c r="B30" t="s">
        <v>405</v>
      </c>
      <c r="C30" t="s">
        <v>76</v>
      </c>
      <c r="D30">
        <v>1</v>
      </c>
      <c r="E30">
        <v>1</v>
      </c>
      <c r="F30">
        <v>4507</v>
      </c>
      <c r="G30" t="s">
        <v>400</v>
      </c>
      <c r="H30">
        <v>4292</v>
      </c>
      <c r="I30">
        <v>4436</v>
      </c>
    </row>
    <row r="31" spans="1:9" x14ac:dyDescent="0.25">
      <c r="A31" t="s">
        <v>388</v>
      </c>
      <c r="B31" t="s">
        <v>405</v>
      </c>
      <c r="C31" t="s">
        <v>76</v>
      </c>
      <c r="D31">
        <v>1</v>
      </c>
      <c r="E31">
        <v>1</v>
      </c>
      <c r="F31">
        <v>4507</v>
      </c>
      <c r="G31" t="s">
        <v>392</v>
      </c>
      <c r="H31">
        <v>3669</v>
      </c>
      <c r="I31">
        <v>3770</v>
      </c>
    </row>
    <row r="32" spans="1:9" x14ac:dyDescent="0.25">
      <c r="A32" t="s">
        <v>388</v>
      </c>
      <c r="B32" t="s">
        <v>405</v>
      </c>
      <c r="C32" t="s">
        <v>76</v>
      </c>
      <c r="D32">
        <v>1</v>
      </c>
      <c r="E32">
        <v>1</v>
      </c>
      <c r="F32">
        <v>4507</v>
      </c>
      <c r="G32" t="s">
        <v>392</v>
      </c>
      <c r="H32">
        <v>4003</v>
      </c>
      <c r="I32">
        <v>4111</v>
      </c>
    </row>
    <row r="33" spans="1:9" x14ac:dyDescent="0.25">
      <c r="A33" t="s">
        <v>388</v>
      </c>
      <c r="B33" t="s">
        <v>406</v>
      </c>
      <c r="C33" t="s">
        <v>72</v>
      </c>
      <c r="D33">
        <v>1</v>
      </c>
      <c r="E33">
        <v>1</v>
      </c>
      <c r="F33">
        <v>1247</v>
      </c>
      <c r="G33" t="s">
        <v>390</v>
      </c>
      <c r="H33">
        <v>75</v>
      </c>
      <c r="I33">
        <v>209</v>
      </c>
    </row>
    <row r="34" spans="1:9" x14ac:dyDescent="0.25">
      <c r="A34" t="s">
        <v>388</v>
      </c>
      <c r="B34" t="s">
        <v>406</v>
      </c>
      <c r="C34" t="s">
        <v>72</v>
      </c>
      <c r="D34">
        <v>1</v>
      </c>
      <c r="E34">
        <v>1</v>
      </c>
      <c r="F34">
        <v>1247</v>
      </c>
      <c r="G34" t="s">
        <v>400</v>
      </c>
      <c r="H34">
        <v>1037</v>
      </c>
      <c r="I34">
        <v>1178</v>
      </c>
    </row>
    <row r="35" spans="1:9" x14ac:dyDescent="0.25">
      <c r="A35" t="s">
        <v>388</v>
      </c>
      <c r="B35" t="s">
        <v>406</v>
      </c>
      <c r="C35" t="s">
        <v>72</v>
      </c>
      <c r="D35">
        <v>1</v>
      </c>
      <c r="E35">
        <v>1</v>
      </c>
      <c r="F35">
        <v>1247</v>
      </c>
      <c r="G35" t="s">
        <v>392</v>
      </c>
      <c r="H35">
        <v>317</v>
      </c>
      <c r="I35">
        <v>419</v>
      </c>
    </row>
    <row r="36" spans="1:9" x14ac:dyDescent="0.25">
      <c r="A36" t="s">
        <v>388</v>
      </c>
      <c r="B36" t="s">
        <v>406</v>
      </c>
      <c r="C36" t="s">
        <v>72</v>
      </c>
      <c r="D36">
        <v>1</v>
      </c>
      <c r="E36">
        <v>1</v>
      </c>
      <c r="F36">
        <v>1247</v>
      </c>
      <c r="G36" t="s">
        <v>392</v>
      </c>
      <c r="H36">
        <v>653</v>
      </c>
      <c r="I36">
        <v>765</v>
      </c>
    </row>
    <row r="37" spans="1:9" x14ac:dyDescent="0.25">
      <c r="A37" t="s">
        <v>388</v>
      </c>
      <c r="B37" t="s">
        <v>407</v>
      </c>
      <c r="C37" t="s">
        <v>73</v>
      </c>
      <c r="D37">
        <v>1</v>
      </c>
      <c r="E37">
        <v>1</v>
      </c>
      <c r="F37">
        <v>4507</v>
      </c>
      <c r="G37" t="s">
        <v>390</v>
      </c>
      <c r="H37">
        <v>3423</v>
      </c>
      <c r="I37">
        <v>3579</v>
      </c>
    </row>
    <row r="38" spans="1:9" x14ac:dyDescent="0.25">
      <c r="A38" t="s">
        <v>388</v>
      </c>
      <c r="B38" t="s">
        <v>407</v>
      </c>
      <c r="C38" t="s">
        <v>73</v>
      </c>
      <c r="D38">
        <v>1</v>
      </c>
      <c r="E38">
        <v>1</v>
      </c>
      <c r="F38">
        <v>4507</v>
      </c>
      <c r="G38" t="s">
        <v>400</v>
      </c>
      <c r="H38">
        <v>4292</v>
      </c>
      <c r="I38">
        <v>4436</v>
      </c>
    </row>
    <row r="39" spans="1:9" x14ac:dyDescent="0.25">
      <c r="A39" t="s">
        <v>388</v>
      </c>
      <c r="B39" t="s">
        <v>407</v>
      </c>
      <c r="C39" t="s">
        <v>73</v>
      </c>
      <c r="D39">
        <v>1</v>
      </c>
      <c r="E39">
        <v>1</v>
      </c>
      <c r="F39">
        <v>4507</v>
      </c>
      <c r="G39" t="s">
        <v>392</v>
      </c>
      <c r="H39">
        <v>3669</v>
      </c>
      <c r="I39">
        <v>3770</v>
      </c>
    </row>
    <row r="40" spans="1:9" x14ac:dyDescent="0.25">
      <c r="A40" t="s">
        <v>388</v>
      </c>
      <c r="B40" t="s">
        <v>407</v>
      </c>
      <c r="C40" t="s">
        <v>73</v>
      </c>
      <c r="D40">
        <v>1</v>
      </c>
      <c r="E40">
        <v>1</v>
      </c>
      <c r="F40">
        <v>4507</v>
      </c>
      <c r="G40" t="s">
        <v>392</v>
      </c>
      <c r="H40">
        <v>4003</v>
      </c>
      <c r="I40">
        <v>4111</v>
      </c>
    </row>
    <row r="41" spans="1:9" x14ac:dyDescent="0.25">
      <c r="A41" t="s">
        <v>388</v>
      </c>
      <c r="B41" t="s">
        <v>408</v>
      </c>
      <c r="C41" t="s">
        <v>77</v>
      </c>
      <c r="D41">
        <v>1</v>
      </c>
      <c r="E41">
        <v>1</v>
      </c>
      <c r="F41">
        <v>1249</v>
      </c>
      <c r="G41" t="s">
        <v>390</v>
      </c>
      <c r="H41">
        <v>77</v>
      </c>
      <c r="I41">
        <v>211</v>
      </c>
    </row>
    <row r="42" spans="1:9" x14ac:dyDescent="0.25">
      <c r="A42" t="s">
        <v>388</v>
      </c>
      <c r="B42" t="s">
        <v>408</v>
      </c>
      <c r="C42" t="s">
        <v>77</v>
      </c>
      <c r="D42">
        <v>1</v>
      </c>
      <c r="E42">
        <v>1</v>
      </c>
      <c r="F42">
        <v>1249</v>
      </c>
      <c r="G42" t="s">
        <v>400</v>
      </c>
      <c r="H42">
        <v>1039</v>
      </c>
      <c r="I42">
        <v>1180</v>
      </c>
    </row>
    <row r="43" spans="1:9" x14ac:dyDescent="0.25">
      <c r="A43" t="s">
        <v>388</v>
      </c>
      <c r="B43" t="s">
        <v>408</v>
      </c>
      <c r="C43" t="s">
        <v>77</v>
      </c>
      <c r="D43">
        <v>1</v>
      </c>
      <c r="E43">
        <v>1</v>
      </c>
      <c r="F43">
        <v>1249</v>
      </c>
      <c r="G43" t="s">
        <v>392</v>
      </c>
      <c r="H43">
        <v>319</v>
      </c>
      <c r="I43">
        <v>421</v>
      </c>
    </row>
    <row r="44" spans="1:9" x14ac:dyDescent="0.25">
      <c r="A44" t="s">
        <v>388</v>
      </c>
      <c r="B44" t="s">
        <v>408</v>
      </c>
      <c r="C44" t="s">
        <v>77</v>
      </c>
      <c r="D44">
        <v>1</v>
      </c>
      <c r="E44">
        <v>1</v>
      </c>
      <c r="F44">
        <v>1249</v>
      </c>
      <c r="G44" t="s">
        <v>392</v>
      </c>
      <c r="H44">
        <v>655</v>
      </c>
      <c r="I44">
        <v>762</v>
      </c>
    </row>
    <row r="45" spans="1:9" x14ac:dyDescent="0.25">
      <c r="A45" t="s">
        <v>388</v>
      </c>
      <c r="B45" t="s">
        <v>409</v>
      </c>
      <c r="D45">
        <v>0</v>
      </c>
      <c r="E45">
        <v>0</v>
      </c>
      <c r="F45">
        <v>521</v>
      </c>
      <c r="G45" t="s">
        <v>390</v>
      </c>
      <c r="H45">
        <v>16</v>
      </c>
      <c r="I45">
        <v>140</v>
      </c>
    </row>
    <row r="46" spans="1:9" x14ac:dyDescent="0.25">
      <c r="A46" t="s">
        <v>388</v>
      </c>
      <c r="B46" t="s">
        <v>409</v>
      </c>
      <c r="D46">
        <v>0</v>
      </c>
      <c r="E46">
        <v>0</v>
      </c>
      <c r="F46">
        <v>521</v>
      </c>
      <c r="G46" t="s">
        <v>392</v>
      </c>
      <c r="H46">
        <v>293</v>
      </c>
      <c r="I46">
        <v>393</v>
      </c>
    </row>
    <row r="47" spans="1:9" x14ac:dyDescent="0.25">
      <c r="A47" t="s">
        <v>388</v>
      </c>
      <c r="B47" t="s">
        <v>410</v>
      </c>
      <c r="D47">
        <v>1</v>
      </c>
      <c r="E47">
        <v>0</v>
      </c>
      <c r="F47">
        <v>1797</v>
      </c>
      <c r="G47" t="s">
        <v>392</v>
      </c>
      <c r="H47">
        <v>233</v>
      </c>
      <c r="I47">
        <v>340</v>
      </c>
    </row>
    <row r="48" spans="1:9" x14ac:dyDescent="0.25">
      <c r="A48" t="s">
        <v>388</v>
      </c>
      <c r="B48" t="s">
        <v>410</v>
      </c>
      <c r="D48">
        <v>1</v>
      </c>
      <c r="E48">
        <v>0</v>
      </c>
      <c r="F48">
        <v>1797</v>
      </c>
      <c r="G48" t="s">
        <v>392</v>
      </c>
      <c r="H48">
        <v>612</v>
      </c>
      <c r="I48">
        <v>704</v>
      </c>
    </row>
    <row r="49" spans="1:12" x14ac:dyDescent="0.25">
      <c r="A49" t="s">
        <v>388</v>
      </c>
      <c r="B49" t="s">
        <v>411</v>
      </c>
      <c r="D49">
        <v>0</v>
      </c>
      <c r="E49">
        <v>0</v>
      </c>
      <c r="F49">
        <v>87</v>
      </c>
      <c r="G49" t="s">
        <v>392</v>
      </c>
      <c r="H49">
        <v>45</v>
      </c>
      <c r="I49">
        <v>87</v>
      </c>
    </row>
    <row r="50" spans="1:12" x14ac:dyDescent="0.25">
      <c r="A50" t="s">
        <v>388</v>
      </c>
      <c r="B50" t="s">
        <v>412</v>
      </c>
      <c r="D50">
        <v>0</v>
      </c>
      <c r="E50">
        <v>0</v>
      </c>
      <c r="F50">
        <v>88</v>
      </c>
      <c r="G50" t="s">
        <v>392</v>
      </c>
      <c r="H50">
        <v>45</v>
      </c>
      <c r="I50">
        <v>88</v>
      </c>
    </row>
    <row r="51" spans="1:12" x14ac:dyDescent="0.25">
      <c r="A51" t="s">
        <v>388</v>
      </c>
      <c r="B51" t="s">
        <v>413</v>
      </c>
      <c r="D51">
        <v>0</v>
      </c>
      <c r="E51">
        <v>0</v>
      </c>
      <c r="F51">
        <v>290</v>
      </c>
      <c r="G51" t="s">
        <v>392</v>
      </c>
      <c r="H51">
        <v>187</v>
      </c>
      <c r="I51">
        <v>272</v>
      </c>
    </row>
    <row r="52" spans="1:12" x14ac:dyDescent="0.25">
      <c r="A52" t="s">
        <v>388</v>
      </c>
      <c r="B52" t="s">
        <v>414</v>
      </c>
      <c r="C52" t="s">
        <v>95</v>
      </c>
      <c r="D52">
        <v>1</v>
      </c>
      <c r="E52">
        <v>1</v>
      </c>
      <c r="F52">
        <v>2886</v>
      </c>
      <c r="G52" t="s">
        <v>390</v>
      </c>
      <c r="H52">
        <v>39</v>
      </c>
      <c r="I52">
        <v>176</v>
      </c>
    </row>
    <row r="53" spans="1:12" x14ac:dyDescent="0.25">
      <c r="A53" t="s">
        <v>388</v>
      </c>
      <c r="B53" t="s">
        <v>414</v>
      </c>
      <c r="C53" t="s">
        <v>95</v>
      </c>
      <c r="D53">
        <v>1</v>
      </c>
      <c r="E53">
        <v>1</v>
      </c>
      <c r="F53">
        <v>2886</v>
      </c>
      <c r="G53" t="s">
        <v>398</v>
      </c>
      <c r="H53">
        <v>2316</v>
      </c>
      <c r="I53">
        <v>2681</v>
      </c>
    </row>
    <row r="54" spans="1:12" x14ac:dyDescent="0.25">
      <c r="A54" t="s">
        <v>388</v>
      </c>
      <c r="B54" s="134" t="s">
        <v>414</v>
      </c>
      <c r="C54" s="134" t="s">
        <v>95</v>
      </c>
      <c r="D54" s="134">
        <v>1</v>
      </c>
      <c r="E54" s="134">
        <v>1</v>
      </c>
      <c r="F54" s="134">
        <v>2886</v>
      </c>
      <c r="G54" s="134" t="s">
        <v>399</v>
      </c>
      <c r="H54" s="134">
        <v>1257</v>
      </c>
      <c r="I54" s="134">
        <v>1715</v>
      </c>
      <c r="J54" s="134"/>
      <c r="K54" s="134"/>
      <c r="L54" s="134"/>
    </row>
    <row r="55" spans="1:12" x14ac:dyDescent="0.25">
      <c r="A55" t="s">
        <v>388</v>
      </c>
      <c r="B55" s="134" t="s">
        <v>414</v>
      </c>
      <c r="C55" s="134" t="s">
        <v>95</v>
      </c>
      <c r="D55" s="134">
        <v>1</v>
      </c>
      <c r="E55" s="134">
        <v>1</v>
      </c>
      <c r="F55" s="134">
        <v>2886</v>
      </c>
      <c r="G55" s="134" t="s">
        <v>400</v>
      </c>
      <c r="H55" s="134">
        <v>2811</v>
      </c>
      <c r="I55" s="134">
        <v>2870</v>
      </c>
      <c r="J55" s="134"/>
      <c r="K55" s="134"/>
      <c r="L55" s="134"/>
    </row>
    <row r="56" spans="1:12" x14ac:dyDescent="0.25">
      <c r="A56" t="s">
        <v>388</v>
      </c>
      <c r="B56" s="134" t="s">
        <v>414</v>
      </c>
      <c r="C56" s="134" t="s">
        <v>95</v>
      </c>
      <c r="D56" s="134">
        <v>1</v>
      </c>
      <c r="E56" s="134">
        <v>1</v>
      </c>
      <c r="F56" s="134">
        <v>2886</v>
      </c>
      <c r="G56" s="134" t="s">
        <v>392</v>
      </c>
      <c r="H56" s="134">
        <v>266</v>
      </c>
      <c r="I56" s="134">
        <v>370</v>
      </c>
      <c r="J56" s="134"/>
      <c r="K56" s="134"/>
      <c r="L56" s="134"/>
    </row>
    <row r="57" spans="1:12" x14ac:dyDescent="0.25">
      <c r="A57" t="s">
        <v>388</v>
      </c>
      <c r="B57" s="134" t="s">
        <v>414</v>
      </c>
      <c r="C57" s="134" t="s">
        <v>95</v>
      </c>
      <c r="D57" s="134">
        <v>1</v>
      </c>
      <c r="E57" s="134">
        <v>1</v>
      </c>
      <c r="F57" s="134">
        <v>2886</v>
      </c>
      <c r="G57" s="134" t="s">
        <v>392</v>
      </c>
      <c r="H57" s="134">
        <v>617</v>
      </c>
      <c r="I57" s="134">
        <v>731</v>
      </c>
      <c r="J57" s="134"/>
      <c r="K57" s="134"/>
      <c r="L57" s="134"/>
    </row>
    <row r="58" spans="1:12" x14ac:dyDescent="0.25">
      <c r="A58" t="s">
        <v>388</v>
      </c>
      <c r="B58" s="134" t="s">
        <v>414</v>
      </c>
      <c r="C58" s="134" t="s">
        <v>95</v>
      </c>
      <c r="D58" s="134">
        <v>1</v>
      </c>
      <c r="E58" s="134">
        <v>1</v>
      </c>
      <c r="F58" s="134">
        <v>2886</v>
      </c>
      <c r="G58" s="134" t="s">
        <v>401</v>
      </c>
      <c r="H58" s="134">
        <v>881</v>
      </c>
      <c r="I58" s="134">
        <v>1082</v>
      </c>
      <c r="J58" s="134"/>
      <c r="K58" s="134"/>
      <c r="L58" s="134"/>
    </row>
    <row r="59" spans="1:12" x14ac:dyDescent="0.25">
      <c r="A59" t="s">
        <v>388</v>
      </c>
      <c r="B59" s="134" t="s">
        <v>414</v>
      </c>
      <c r="C59" s="134" t="s">
        <v>95</v>
      </c>
      <c r="D59" s="134">
        <v>1</v>
      </c>
      <c r="E59" s="134">
        <v>1</v>
      </c>
      <c r="F59" s="134">
        <v>2886</v>
      </c>
      <c r="G59" s="134" t="s">
        <v>415</v>
      </c>
      <c r="H59" s="134">
        <v>1815</v>
      </c>
      <c r="I59" s="134">
        <v>1871</v>
      </c>
      <c r="J59" s="134"/>
      <c r="K59" s="134"/>
      <c r="L59" s="134"/>
    </row>
    <row r="60" spans="1:12" x14ac:dyDescent="0.25">
      <c r="A60" t="s">
        <v>388</v>
      </c>
      <c r="B60" s="134" t="s">
        <v>414</v>
      </c>
      <c r="C60" s="134" t="s">
        <v>95</v>
      </c>
      <c r="D60" s="134">
        <v>1</v>
      </c>
      <c r="E60" s="134">
        <v>1</v>
      </c>
      <c r="F60" s="134">
        <v>2886</v>
      </c>
      <c r="G60" s="134" t="s">
        <v>402</v>
      </c>
      <c r="H60" s="134">
        <v>1222</v>
      </c>
      <c r="I60" s="134">
        <v>1865</v>
      </c>
      <c r="J60" s="134"/>
      <c r="K60" s="134"/>
      <c r="L60" s="134"/>
    </row>
    <row r="61" spans="1:12" x14ac:dyDescent="0.25">
      <c r="A61" t="s">
        <v>388</v>
      </c>
      <c r="B61" s="134" t="s">
        <v>416</v>
      </c>
      <c r="C61" s="134" t="s">
        <v>96</v>
      </c>
      <c r="D61" s="134">
        <v>1</v>
      </c>
      <c r="E61" s="134">
        <v>1</v>
      </c>
      <c r="F61" s="134">
        <v>2584</v>
      </c>
      <c r="G61" s="134" t="s">
        <v>390</v>
      </c>
      <c r="H61" s="134">
        <v>31</v>
      </c>
      <c r="I61" s="134">
        <v>153</v>
      </c>
      <c r="J61" s="134"/>
      <c r="K61" s="134"/>
      <c r="L61" s="134"/>
    </row>
    <row r="62" spans="1:12" x14ac:dyDescent="0.25">
      <c r="A62" t="s">
        <v>388</v>
      </c>
      <c r="B62" s="134" t="s">
        <v>416</v>
      </c>
      <c r="C62" s="134" t="s">
        <v>96</v>
      </c>
      <c r="D62" s="134">
        <v>1</v>
      </c>
      <c r="E62" s="134">
        <v>1</v>
      </c>
      <c r="F62" s="134">
        <v>2584</v>
      </c>
      <c r="G62" s="134" t="s">
        <v>398</v>
      </c>
      <c r="H62" s="134">
        <v>1898</v>
      </c>
      <c r="I62" s="134">
        <v>2329</v>
      </c>
      <c r="J62" s="134"/>
      <c r="K62" s="134"/>
      <c r="L62" s="134"/>
    </row>
    <row r="63" spans="1:12" x14ac:dyDescent="0.25">
      <c r="A63" t="s">
        <v>388</v>
      </c>
      <c r="B63" s="134" t="s">
        <v>416</v>
      </c>
      <c r="C63" s="134" t="s">
        <v>96</v>
      </c>
      <c r="D63" s="134">
        <v>1</v>
      </c>
      <c r="E63" s="134">
        <v>1</v>
      </c>
      <c r="F63" s="134">
        <v>2584</v>
      </c>
      <c r="G63" s="134" t="s">
        <v>400</v>
      </c>
      <c r="H63" s="134">
        <v>2400</v>
      </c>
      <c r="I63" s="134">
        <v>2535</v>
      </c>
      <c r="J63" s="134"/>
      <c r="K63" s="134"/>
      <c r="L63" s="134"/>
    </row>
    <row r="64" spans="1:12" x14ac:dyDescent="0.25">
      <c r="A64" t="s">
        <v>388</v>
      </c>
      <c r="B64" s="134" t="s">
        <v>416</v>
      </c>
      <c r="C64" s="134" t="s">
        <v>96</v>
      </c>
      <c r="D64" s="134">
        <v>1</v>
      </c>
      <c r="E64" s="134">
        <v>1</v>
      </c>
      <c r="F64" s="134">
        <v>2584</v>
      </c>
      <c r="G64" s="134" t="s">
        <v>392</v>
      </c>
      <c r="H64" s="134">
        <v>272</v>
      </c>
      <c r="I64" s="134">
        <v>374</v>
      </c>
      <c r="J64" s="134"/>
      <c r="K64" s="134"/>
      <c r="L64" s="134"/>
    </row>
    <row r="65" spans="1:12" x14ac:dyDescent="0.25">
      <c r="A65" t="s">
        <v>388</v>
      </c>
      <c r="B65" s="134" t="s">
        <v>416</v>
      </c>
      <c r="C65" s="134" t="s">
        <v>96</v>
      </c>
      <c r="D65" s="134">
        <v>1</v>
      </c>
      <c r="E65" s="134">
        <v>1</v>
      </c>
      <c r="F65" s="134">
        <v>2584</v>
      </c>
      <c r="G65" s="134" t="s">
        <v>392</v>
      </c>
      <c r="H65" s="134">
        <v>624</v>
      </c>
      <c r="I65" s="134">
        <v>744</v>
      </c>
      <c r="J65" s="134"/>
      <c r="K65" s="134"/>
      <c r="L65" s="134"/>
    </row>
    <row r="66" spans="1:12" x14ac:dyDescent="0.25">
      <c r="A66" t="s">
        <v>388</v>
      </c>
      <c r="B66" s="134" t="s">
        <v>416</v>
      </c>
      <c r="C66" s="134" t="s">
        <v>96</v>
      </c>
      <c r="D66" s="134">
        <v>1</v>
      </c>
      <c r="E66" s="134">
        <v>1</v>
      </c>
      <c r="F66" s="134">
        <v>2584</v>
      </c>
      <c r="G66" s="134" t="s">
        <v>401</v>
      </c>
      <c r="H66" s="134">
        <v>875</v>
      </c>
      <c r="I66" s="134">
        <v>1058</v>
      </c>
      <c r="J66" s="134"/>
      <c r="K66" s="134"/>
      <c r="L66" s="134"/>
    </row>
    <row r="67" spans="1:12" x14ac:dyDescent="0.25">
      <c r="A67" t="s">
        <v>388</v>
      </c>
      <c r="B67" t="s">
        <v>417</v>
      </c>
      <c r="C67" s="102" t="s">
        <v>98</v>
      </c>
      <c r="D67" s="102">
        <v>1</v>
      </c>
      <c r="E67" s="102">
        <v>1</v>
      </c>
      <c r="F67" s="102">
        <v>3222</v>
      </c>
      <c r="G67" s="102" t="s">
        <v>390</v>
      </c>
      <c r="H67" s="102">
        <v>39</v>
      </c>
      <c r="I67" s="102">
        <v>150</v>
      </c>
      <c r="J67" s="102"/>
    </row>
    <row r="68" spans="1:12" x14ac:dyDescent="0.25">
      <c r="A68" t="s">
        <v>388</v>
      </c>
      <c r="B68" t="s">
        <v>417</v>
      </c>
      <c r="C68" s="102" t="s">
        <v>98</v>
      </c>
      <c r="D68" s="102">
        <v>1</v>
      </c>
      <c r="E68" s="102">
        <v>1</v>
      </c>
      <c r="F68" s="102">
        <v>3222</v>
      </c>
      <c r="G68" s="102" t="s">
        <v>398</v>
      </c>
      <c r="H68" s="102">
        <v>2307</v>
      </c>
      <c r="I68" s="102">
        <v>3055</v>
      </c>
      <c r="J68" s="102"/>
    </row>
    <row r="69" spans="1:12" x14ac:dyDescent="0.25">
      <c r="A69" t="s">
        <v>388</v>
      </c>
      <c r="B69" t="s">
        <v>417</v>
      </c>
      <c r="C69" s="102" t="s">
        <v>98</v>
      </c>
      <c r="D69" s="102">
        <v>1</v>
      </c>
      <c r="E69" s="102">
        <v>1</v>
      </c>
      <c r="F69" s="102">
        <v>3222</v>
      </c>
      <c r="G69" s="102" t="s">
        <v>399</v>
      </c>
      <c r="H69" s="102">
        <v>1279</v>
      </c>
      <c r="I69" s="102">
        <v>1730</v>
      </c>
      <c r="J69" s="102"/>
    </row>
    <row r="70" spans="1:12" x14ac:dyDescent="0.25">
      <c r="A70" t="s">
        <v>388</v>
      </c>
      <c r="B70" t="s">
        <v>417</v>
      </c>
      <c r="C70" s="102" t="s">
        <v>98</v>
      </c>
      <c r="D70" s="102">
        <v>1</v>
      </c>
      <c r="E70" s="102">
        <v>1</v>
      </c>
      <c r="F70" s="102">
        <v>3222</v>
      </c>
      <c r="G70" s="102" t="s">
        <v>392</v>
      </c>
      <c r="H70" s="102">
        <v>275</v>
      </c>
      <c r="I70" s="102">
        <v>379</v>
      </c>
      <c r="J70" s="102"/>
    </row>
    <row r="71" spans="1:12" x14ac:dyDescent="0.25">
      <c r="A71" t="s">
        <v>388</v>
      </c>
      <c r="B71" t="s">
        <v>417</v>
      </c>
      <c r="C71" s="102" t="s">
        <v>98</v>
      </c>
      <c r="D71" s="102">
        <v>1</v>
      </c>
      <c r="E71" s="102">
        <v>1</v>
      </c>
      <c r="F71" s="102">
        <v>3222</v>
      </c>
      <c r="G71" s="102" t="s">
        <v>392</v>
      </c>
      <c r="H71" s="102">
        <v>629</v>
      </c>
      <c r="I71" s="102">
        <v>746</v>
      </c>
      <c r="J71" s="102"/>
    </row>
    <row r="72" spans="1:12" x14ac:dyDescent="0.25">
      <c r="A72" t="s">
        <v>388</v>
      </c>
      <c r="B72" t="s">
        <v>417</v>
      </c>
      <c r="C72" s="102" t="s">
        <v>98</v>
      </c>
      <c r="D72" s="102">
        <v>1</v>
      </c>
      <c r="E72" s="102">
        <v>1</v>
      </c>
      <c r="F72" s="102">
        <v>3222</v>
      </c>
      <c r="G72" s="102" t="s">
        <v>401</v>
      </c>
      <c r="H72" s="102">
        <v>897</v>
      </c>
      <c r="I72" s="102">
        <v>1090</v>
      </c>
      <c r="J72" s="102"/>
    </row>
    <row r="73" spans="1:12" x14ac:dyDescent="0.25">
      <c r="A73" t="s">
        <v>388</v>
      </c>
      <c r="B73" t="s">
        <v>417</v>
      </c>
      <c r="C73" s="102" t="s">
        <v>98</v>
      </c>
      <c r="D73" s="102">
        <v>1</v>
      </c>
      <c r="E73" s="102">
        <v>1</v>
      </c>
      <c r="F73" s="102">
        <v>3222</v>
      </c>
      <c r="G73" s="102" t="s">
        <v>415</v>
      </c>
      <c r="H73" s="102">
        <v>1827</v>
      </c>
      <c r="I73" s="102">
        <v>1883</v>
      </c>
      <c r="J73" s="102"/>
    </row>
    <row r="74" spans="1:12" x14ac:dyDescent="0.25">
      <c r="A74" t="s">
        <v>388</v>
      </c>
      <c r="B74" t="s">
        <v>418</v>
      </c>
      <c r="C74" t="s">
        <v>99</v>
      </c>
      <c r="D74">
        <v>1</v>
      </c>
      <c r="E74">
        <v>1</v>
      </c>
      <c r="F74">
        <v>2826</v>
      </c>
      <c r="G74" t="s">
        <v>390</v>
      </c>
      <c r="H74">
        <v>264</v>
      </c>
      <c r="I74">
        <v>389</v>
      </c>
    </row>
    <row r="75" spans="1:12" x14ac:dyDescent="0.25">
      <c r="A75" t="s">
        <v>388</v>
      </c>
      <c r="B75" t="s">
        <v>418</v>
      </c>
      <c r="C75" t="s">
        <v>99</v>
      </c>
      <c r="D75">
        <v>1</v>
      </c>
      <c r="E75">
        <v>1</v>
      </c>
      <c r="F75">
        <v>2826</v>
      </c>
      <c r="G75" t="s">
        <v>398</v>
      </c>
      <c r="H75">
        <v>2073</v>
      </c>
      <c r="I75">
        <v>2624</v>
      </c>
    </row>
    <row r="76" spans="1:12" x14ac:dyDescent="0.25">
      <c r="A76" t="s">
        <v>388</v>
      </c>
      <c r="B76" t="s">
        <v>418</v>
      </c>
      <c r="C76" t="s">
        <v>99</v>
      </c>
      <c r="D76">
        <v>1</v>
      </c>
      <c r="E76">
        <v>1</v>
      </c>
      <c r="F76">
        <v>2826</v>
      </c>
      <c r="G76" t="s">
        <v>419</v>
      </c>
      <c r="H76">
        <v>53</v>
      </c>
      <c r="I76">
        <v>217</v>
      </c>
    </row>
    <row r="77" spans="1:12" x14ac:dyDescent="0.25">
      <c r="A77" t="s">
        <v>388</v>
      </c>
      <c r="B77" t="s">
        <v>418</v>
      </c>
      <c r="C77" t="s">
        <v>99</v>
      </c>
      <c r="D77">
        <v>1</v>
      </c>
      <c r="E77">
        <v>1</v>
      </c>
      <c r="F77">
        <v>2826</v>
      </c>
      <c r="G77" t="s">
        <v>392</v>
      </c>
      <c r="H77">
        <v>490</v>
      </c>
      <c r="I77">
        <v>595</v>
      </c>
    </row>
    <row r="78" spans="1:12" x14ac:dyDescent="0.25">
      <c r="A78" t="s">
        <v>388</v>
      </c>
      <c r="B78" t="s">
        <v>418</v>
      </c>
      <c r="C78" t="s">
        <v>99</v>
      </c>
      <c r="D78">
        <v>1</v>
      </c>
      <c r="E78">
        <v>1</v>
      </c>
      <c r="F78">
        <v>2826</v>
      </c>
      <c r="G78" t="s">
        <v>392</v>
      </c>
      <c r="H78">
        <v>862</v>
      </c>
      <c r="I78">
        <v>979</v>
      </c>
    </row>
    <row r="79" spans="1:12" x14ac:dyDescent="0.25">
      <c r="A79" t="s">
        <v>388</v>
      </c>
      <c r="B79" t="s">
        <v>418</v>
      </c>
      <c r="C79" t="s">
        <v>99</v>
      </c>
      <c r="D79">
        <v>1</v>
      </c>
      <c r="E79">
        <v>1</v>
      </c>
      <c r="F79">
        <v>2826</v>
      </c>
      <c r="G79" t="s">
        <v>401</v>
      </c>
      <c r="H79">
        <v>1132</v>
      </c>
      <c r="I79">
        <v>1315</v>
      </c>
    </row>
    <row r="80" spans="1:12" x14ac:dyDescent="0.25">
      <c r="A80" t="s">
        <v>388</v>
      </c>
      <c r="B80" t="s">
        <v>420</v>
      </c>
      <c r="D80">
        <v>0</v>
      </c>
      <c r="E80">
        <v>0</v>
      </c>
      <c r="F80">
        <v>263</v>
      </c>
      <c r="G80" t="s">
        <v>392</v>
      </c>
      <c r="H80">
        <v>159</v>
      </c>
      <c r="I80">
        <v>251</v>
      </c>
    </row>
    <row r="81" spans="1:9" x14ac:dyDescent="0.25">
      <c r="A81" t="s">
        <v>388</v>
      </c>
      <c r="B81" t="s">
        <v>421</v>
      </c>
      <c r="D81">
        <v>0</v>
      </c>
      <c r="E81">
        <v>0</v>
      </c>
      <c r="F81">
        <v>2220</v>
      </c>
      <c r="G81" t="s">
        <v>398</v>
      </c>
      <c r="H81">
        <v>479</v>
      </c>
      <c r="I81">
        <v>683</v>
      </c>
    </row>
    <row r="82" spans="1:9" x14ac:dyDescent="0.25">
      <c r="A82" t="s">
        <v>388</v>
      </c>
      <c r="B82" t="s">
        <v>421</v>
      </c>
      <c r="D82">
        <v>0</v>
      </c>
      <c r="E82">
        <v>0</v>
      </c>
      <c r="F82">
        <v>2220</v>
      </c>
      <c r="G82" t="s">
        <v>398</v>
      </c>
      <c r="H82">
        <v>716</v>
      </c>
      <c r="I82">
        <v>1776</v>
      </c>
    </row>
    <row r="83" spans="1:9" x14ac:dyDescent="0.25">
      <c r="A83" t="s">
        <v>388</v>
      </c>
      <c r="B83" t="s">
        <v>421</v>
      </c>
      <c r="D83">
        <v>0</v>
      </c>
      <c r="E83">
        <v>0</v>
      </c>
      <c r="F83">
        <v>2220</v>
      </c>
      <c r="G83" t="s">
        <v>392</v>
      </c>
      <c r="H83">
        <v>118</v>
      </c>
      <c r="I83">
        <v>237</v>
      </c>
    </row>
    <row r="84" spans="1:9" x14ac:dyDescent="0.25">
      <c r="A84" t="s">
        <v>388</v>
      </c>
      <c r="B84" t="s">
        <v>422</v>
      </c>
      <c r="C84" t="s">
        <v>105</v>
      </c>
      <c r="D84">
        <v>1</v>
      </c>
      <c r="E84">
        <v>1</v>
      </c>
      <c r="F84">
        <v>4722</v>
      </c>
      <c r="G84" t="s">
        <v>390</v>
      </c>
      <c r="H84">
        <v>3589</v>
      </c>
      <c r="I84">
        <v>3679</v>
      </c>
    </row>
    <row r="85" spans="1:9" x14ac:dyDescent="0.25">
      <c r="A85" t="s">
        <v>388</v>
      </c>
      <c r="B85" t="s">
        <v>422</v>
      </c>
      <c r="C85" t="s">
        <v>105</v>
      </c>
      <c r="D85">
        <v>1</v>
      </c>
      <c r="E85">
        <v>1</v>
      </c>
      <c r="F85">
        <v>4722</v>
      </c>
      <c r="G85" t="s">
        <v>400</v>
      </c>
      <c r="H85">
        <v>4530</v>
      </c>
      <c r="I85">
        <v>4667</v>
      </c>
    </row>
    <row r="86" spans="1:9" x14ac:dyDescent="0.25">
      <c r="A86" t="s">
        <v>388</v>
      </c>
      <c r="B86" t="s">
        <v>422</v>
      </c>
      <c r="C86" t="s">
        <v>105</v>
      </c>
      <c r="D86">
        <v>1</v>
      </c>
      <c r="E86">
        <v>1</v>
      </c>
      <c r="F86">
        <v>4722</v>
      </c>
      <c r="G86" t="s">
        <v>419</v>
      </c>
      <c r="H86">
        <v>3401</v>
      </c>
      <c r="I86">
        <v>3574</v>
      </c>
    </row>
    <row r="87" spans="1:9" x14ac:dyDescent="0.25">
      <c r="A87" t="s">
        <v>388</v>
      </c>
      <c r="B87" t="s">
        <v>422</v>
      </c>
      <c r="C87" t="s">
        <v>105</v>
      </c>
      <c r="D87">
        <v>1</v>
      </c>
      <c r="E87">
        <v>1</v>
      </c>
      <c r="F87">
        <v>4722</v>
      </c>
      <c r="G87" t="s">
        <v>392</v>
      </c>
      <c r="H87">
        <v>3899</v>
      </c>
      <c r="I87">
        <v>4006</v>
      </c>
    </row>
    <row r="88" spans="1:9" x14ac:dyDescent="0.25">
      <c r="A88" t="s">
        <v>388</v>
      </c>
      <c r="B88" t="s">
        <v>422</v>
      </c>
      <c r="C88" t="s">
        <v>105</v>
      </c>
      <c r="D88">
        <v>1</v>
      </c>
      <c r="E88">
        <v>1</v>
      </c>
      <c r="F88">
        <v>4722</v>
      </c>
      <c r="G88" t="s">
        <v>392</v>
      </c>
      <c r="H88">
        <v>4243</v>
      </c>
      <c r="I88">
        <v>4352</v>
      </c>
    </row>
    <row r="89" spans="1:9" x14ac:dyDescent="0.25">
      <c r="A89" t="s">
        <v>388</v>
      </c>
      <c r="B89" t="s">
        <v>422</v>
      </c>
      <c r="C89" t="s">
        <v>105</v>
      </c>
      <c r="D89">
        <v>1</v>
      </c>
      <c r="E89">
        <v>1</v>
      </c>
      <c r="F89">
        <v>4722</v>
      </c>
      <c r="G89" t="s">
        <v>402</v>
      </c>
      <c r="H89">
        <v>177</v>
      </c>
      <c r="I89">
        <v>320</v>
      </c>
    </row>
    <row r="90" spans="1:9" x14ac:dyDescent="0.25">
      <c r="A90" t="s">
        <v>388</v>
      </c>
      <c r="B90" t="s">
        <v>422</v>
      </c>
      <c r="C90" t="s">
        <v>105</v>
      </c>
      <c r="D90">
        <v>1</v>
      </c>
      <c r="E90">
        <v>1</v>
      </c>
      <c r="F90">
        <v>4722</v>
      </c>
      <c r="G90" t="s">
        <v>402</v>
      </c>
      <c r="H90">
        <v>446</v>
      </c>
      <c r="I90">
        <v>710</v>
      </c>
    </row>
    <row r="91" spans="1:9" x14ac:dyDescent="0.25">
      <c r="A91" t="s">
        <v>388</v>
      </c>
      <c r="B91" t="s">
        <v>422</v>
      </c>
      <c r="C91" t="s">
        <v>105</v>
      </c>
      <c r="D91">
        <v>1</v>
      </c>
      <c r="E91">
        <v>1</v>
      </c>
      <c r="F91">
        <v>4722</v>
      </c>
      <c r="G91" t="s">
        <v>402</v>
      </c>
      <c r="H91">
        <v>1586</v>
      </c>
      <c r="I91">
        <v>2326</v>
      </c>
    </row>
    <row r="92" spans="1:9" x14ac:dyDescent="0.25">
      <c r="A92" t="s">
        <v>388</v>
      </c>
      <c r="B92" t="s">
        <v>422</v>
      </c>
      <c r="C92" t="s">
        <v>105</v>
      </c>
      <c r="D92">
        <v>1</v>
      </c>
      <c r="E92">
        <v>1</v>
      </c>
      <c r="F92">
        <v>4722</v>
      </c>
      <c r="G92" t="s">
        <v>402</v>
      </c>
      <c r="H92">
        <v>2627</v>
      </c>
      <c r="I92">
        <v>2892</v>
      </c>
    </row>
    <row r="93" spans="1:9" x14ac:dyDescent="0.25">
      <c r="A93" t="s">
        <v>388</v>
      </c>
      <c r="B93" t="s">
        <v>422</v>
      </c>
      <c r="C93" t="s">
        <v>105</v>
      </c>
      <c r="D93">
        <v>1</v>
      </c>
      <c r="E93">
        <v>1</v>
      </c>
      <c r="F93">
        <v>4722</v>
      </c>
      <c r="G93" t="s">
        <v>402</v>
      </c>
      <c r="H93">
        <v>3595</v>
      </c>
      <c r="I93">
        <v>4267</v>
      </c>
    </row>
    <row r="94" spans="1:9" x14ac:dyDescent="0.25">
      <c r="A94" t="s">
        <v>388</v>
      </c>
      <c r="B94" t="s">
        <v>423</v>
      </c>
      <c r="C94" t="s">
        <v>106</v>
      </c>
      <c r="D94">
        <v>1</v>
      </c>
      <c r="E94">
        <v>1</v>
      </c>
      <c r="F94">
        <v>3560</v>
      </c>
      <c r="G94" t="s">
        <v>390</v>
      </c>
      <c r="H94">
        <v>2427</v>
      </c>
      <c r="I94">
        <v>2517</v>
      </c>
    </row>
    <row r="95" spans="1:9" x14ac:dyDescent="0.25">
      <c r="A95" t="s">
        <v>388</v>
      </c>
      <c r="B95" t="s">
        <v>423</v>
      </c>
      <c r="C95" t="s">
        <v>106</v>
      </c>
      <c r="D95">
        <v>1</v>
      </c>
      <c r="E95">
        <v>1</v>
      </c>
      <c r="F95">
        <v>3560</v>
      </c>
      <c r="G95" t="s">
        <v>400</v>
      </c>
      <c r="H95">
        <v>3367</v>
      </c>
      <c r="I95">
        <v>3506</v>
      </c>
    </row>
    <row r="96" spans="1:9" x14ac:dyDescent="0.25">
      <c r="A96" t="s">
        <v>388</v>
      </c>
      <c r="B96" t="s">
        <v>423</v>
      </c>
      <c r="C96" t="s">
        <v>106</v>
      </c>
      <c r="D96">
        <v>1</v>
      </c>
      <c r="E96">
        <v>1</v>
      </c>
      <c r="F96">
        <v>3560</v>
      </c>
      <c r="G96" t="s">
        <v>419</v>
      </c>
      <c r="H96">
        <v>2242</v>
      </c>
      <c r="I96">
        <v>2405</v>
      </c>
    </row>
    <row r="97" spans="1:9" x14ac:dyDescent="0.25">
      <c r="A97" t="s">
        <v>388</v>
      </c>
      <c r="B97" t="s">
        <v>423</v>
      </c>
      <c r="C97" t="s">
        <v>106</v>
      </c>
      <c r="D97">
        <v>1</v>
      </c>
      <c r="E97">
        <v>1</v>
      </c>
      <c r="F97">
        <v>3560</v>
      </c>
      <c r="G97" t="s">
        <v>392</v>
      </c>
      <c r="H97">
        <v>2737</v>
      </c>
      <c r="I97">
        <v>2835</v>
      </c>
    </row>
    <row r="98" spans="1:9" x14ac:dyDescent="0.25">
      <c r="A98" t="s">
        <v>388</v>
      </c>
      <c r="B98" t="s">
        <v>423</v>
      </c>
      <c r="C98" t="s">
        <v>106</v>
      </c>
      <c r="D98">
        <v>1</v>
      </c>
      <c r="E98">
        <v>1</v>
      </c>
      <c r="F98">
        <v>3560</v>
      </c>
      <c r="G98" t="s">
        <v>392</v>
      </c>
      <c r="H98">
        <v>3081</v>
      </c>
      <c r="I98">
        <v>3192</v>
      </c>
    </row>
    <row r="99" spans="1:9" x14ac:dyDescent="0.25">
      <c r="A99" t="s">
        <v>388</v>
      </c>
      <c r="B99" t="s">
        <v>423</v>
      </c>
      <c r="C99" t="s">
        <v>106</v>
      </c>
      <c r="D99">
        <v>1</v>
      </c>
      <c r="E99">
        <v>1</v>
      </c>
      <c r="F99">
        <v>3560</v>
      </c>
      <c r="G99" t="s">
        <v>402</v>
      </c>
      <c r="H99">
        <v>277</v>
      </c>
      <c r="I99">
        <v>432</v>
      </c>
    </row>
    <row r="100" spans="1:9" x14ac:dyDescent="0.25">
      <c r="A100" t="s">
        <v>388</v>
      </c>
      <c r="B100" t="s">
        <v>423</v>
      </c>
      <c r="C100" t="s">
        <v>106</v>
      </c>
      <c r="D100">
        <v>1</v>
      </c>
      <c r="E100">
        <v>1</v>
      </c>
      <c r="F100">
        <v>3560</v>
      </c>
      <c r="G100" t="s">
        <v>402</v>
      </c>
      <c r="H100">
        <v>669</v>
      </c>
      <c r="I100">
        <v>1271</v>
      </c>
    </row>
    <row r="101" spans="1:9" x14ac:dyDescent="0.25">
      <c r="A101" t="s">
        <v>388</v>
      </c>
      <c r="B101" t="s">
        <v>423</v>
      </c>
      <c r="C101" t="s">
        <v>106</v>
      </c>
      <c r="D101">
        <v>1</v>
      </c>
      <c r="E101">
        <v>1</v>
      </c>
      <c r="F101">
        <v>3560</v>
      </c>
      <c r="G101" t="s">
        <v>402</v>
      </c>
      <c r="H101">
        <v>1466</v>
      </c>
      <c r="I101">
        <v>1731</v>
      </c>
    </row>
    <row r="102" spans="1:9" x14ac:dyDescent="0.25">
      <c r="A102" t="s">
        <v>388</v>
      </c>
      <c r="B102" t="s">
        <v>424</v>
      </c>
      <c r="D102">
        <v>0</v>
      </c>
      <c r="E102">
        <v>0</v>
      </c>
      <c r="F102">
        <v>1918</v>
      </c>
      <c r="G102" t="s">
        <v>419</v>
      </c>
      <c r="H102">
        <v>78</v>
      </c>
      <c r="I102">
        <v>260</v>
      </c>
    </row>
    <row r="103" spans="1:9" x14ac:dyDescent="0.25">
      <c r="A103" t="s">
        <v>388</v>
      </c>
      <c r="B103" t="s">
        <v>424</v>
      </c>
      <c r="D103">
        <v>0</v>
      </c>
      <c r="E103">
        <v>0</v>
      </c>
      <c r="F103">
        <v>1918</v>
      </c>
      <c r="G103" t="s">
        <v>402</v>
      </c>
      <c r="H103">
        <v>386</v>
      </c>
      <c r="I103">
        <v>635</v>
      </c>
    </row>
    <row r="104" spans="1:9" x14ac:dyDescent="0.25">
      <c r="A104" t="s">
        <v>388</v>
      </c>
      <c r="B104" t="s">
        <v>425</v>
      </c>
      <c r="D104">
        <v>0</v>
      </c>
      <c r="E104">
        <v>0</v>
      </c>
      <c r="F104">
        <v>1918</v>
      </c>
      <c r="G104" t="s">
        <v>419</v>
      </c>
      <c r="H104">
        <v>78</v>
      </c>
      <c r="I104">
        <v>260</v>
      </c>
    </row>
    <row r="105" spans="1:9" x14ac:dyDescent="0.25">
      <c r="A105" t="s">
        <v>388</v>
      </c>
      <c r="B105" t="s">
        <v>425</v>
      </c>
      <c r="D105">
        <v>0</v>
      </c>
      <c r="E105">
        <v>0</v>
      </c>
      <c r="F105">
        <v>1918</v>
      </c>
      <c r="G105" t="s">
        <v>402</v>
      </c>
      <c r="H105">
        <v>386</v>
      </c>
      <c r="I105">
        <v>635</v>
      </c>
    </row>
    <row r="106" spans="1:9" x14ac:dyDescent="0.25">
      <c r="A106" t="s">
        <v>388</v>
      </c>
      <c r="B106" t="s">
        <v>426</v>
      </c>
      <c r="D106">
        <v>0</v>
      </c>
      <c r="E106">
        <v>0</v>
      </c>
      <c r="F106">
        <v>1792</v>
      </c>
      <c r="G106" t="s">
        <v>390</v>
      </c>
      <c r="H106">
        <v>238</v>
      </c>
      <c r="I106">
        <v>366</v>
      </c>
    </row>
    <row r="107" spans="1:9" x14ac:dyDescent="0.25">
      <c r="A107" t="s">
        <v>388</v>
      </c>
      <c r="B107" t="s">
        <v>426</v>
      </c>
      <c r="D107">
        <v>0</v>
      </c>
      <c r="E107">
        <v>0</v>
      </c>
      <c r="F107">
        <v>1792</v>
      </c>
      <c r="G107" t="s">
        <v>398</v>
      </c>
      <c r="H107">
        <v>1450</v>
      </c>
      <c r="I107">
        <v>1787</v>
      </c>
    </row>
    <row r="108" spans="1:9" x14ac:dyDescent="0.25">
      <c r="A108" t="s">
        <v>388</v>
      </c>
      <c r="B108" t="s">
        <v>426</v>
      </c>
      <c r="D108">
        <v>0</v>
      </c>
      <c r="E108">
        <v>0</v>
      </c>
      <c r="F108">
        <v>1792</v>
      </c>
      <c r="G108" t="s">
        <v>419</v>
      </c>
      <c r="H108">
        <v>22</v>
      </c>
      <c r="I108">
        <v>148</v>
      </c>
    </row>
    <row r="109" spans="1:9" x14ac:dyDescent="0.25">
      <c r="A109" t="s">
        <v>388</v>
      </c>
      <c r="B109" t="s">
        <v>426</v>
      </c>
      <c r="D109">
        <v>0</v>
      </c>
      <c r="E109">
        <v>0</v>
      </c>
      <c r="F109">
        <v>1792</v>
      </c>
      <c r="G109" t="s">
        <v>392</v>
      </c>
      <c r="H109">
        <v>488</v>
      </c>
      <c r="I109">
        <v>588</v>
      </c>
    </row>
    <row r="110" spans="1:9" x14ac:dyDescent="0.25">
      <c r="A110" t="s">
        <v>388</v>
      </c>
      <c r="B110" t="s">
        <v>427</v>
      </c>
      <c r="D110">
        <v>0</v>
      </c>
      <c r="E110">
        <v>0</v>
      </c>
      <c r="F110">
        <v>625</v>
      </c>
      <c r="G110" t="s">
        <v>392</v>
      </c>
      <c r="H110">
        <v>202</v>
      </c>
      <c r="I110">
        <v>312</v>
      </c>
    </row>
    <row r="111" spans="1:9" x14ac:dyDescent="0.25">
      <c r="A111" t="s">
        <v>388</v>
      </c>
      <c r="B111" t="s">
        <v>427</v>
      </c>
      <c r="D111">
        <v>0</v>
      </c>
      <c r="E111">
        <v>0</v>
      </c>
      <c r="F111">
        <v>625</v>
      </c>
      <c r="G111" t="s">
        <v>402</v>
      </c>
      <c r="H111">
        <v>361</v>
      </c>
      <c r="I111">
        <v>624</v>
      </c>
    </row>
    <row r="112" spans="1:9" x14ac:dyDescent="0.25">
      <c r="A112" t="s">
        <v>388</v>
      </c>
      <c r="B112" t="s">
        <v>428</v>
      </c>
      <c r="D112">
        <v>0</v>
      </c>
      <c r="E112">
        <v>0</v>
      </c>
      <c r="F112">
        <v>367</v>
      </c>
      <c r="G112" t="s">
        <v>392</v>
      </c>
      <c r="H112">
        <v>245</v>
      </c>
      <c r="I112">
        <v>324</v>
      </c>
    </row>
    <row r="113" spans="1:9" x14ac:dyDescent="0.25">
      <c r="A113" t="s">
        <v>388</v>
      </c>
      <c r="B113" t="s">
        <v>429</v>
      </c>
      <c r="D113">
        <v>0</v>
      </c>
      <c r="E113">
        <v>0</v>
      </c>
      <c r="F113">
        <v>141</v>
      </c>
      <c r="G113" t="s">
        <v>392</v>
      </c>
      <c r="H113">
        <v>3</v>
      </c>
      <c r="I113">
        <v>91</v>
      </c>
    </row>
    <row r="114" spans="1:9" x14ac:dyDescent="0.25">
      <c r="A114" t="s">
        <v>388</v>
      </c>
      <c r="B114" t="s">
        <v>430</v>
      </c>
      <c r="D114">
        <v>0</v>
      </c>
      <c r="E114">
        <v>0</v>
      </c>
      <c r="F114">
        <v>161</v>
      </c>
      <c r="G114" t="s">
        <v>392</v>
      </c>
      <c r="H114">
        <v>4</v>
      </c>
      <c r="I114">
        <v>103</v>
      </c>
    </row>
    <row r="115" spans="1:9" x14ac:dyDescent="0.25">
      <c r="A115" t="s">
        <v>388</v>
      </c>
      <c r="B115" t="s">
        <v>431</v>
      </c>
      <c r="D115">
        <v>0</v>
      </c>
      <c r="E115">
        <v>0</v>
      </c>
      <c r="F115">
        <v>160</v>
      </c>
      <c r="G115" t="s">
        <v>392</v>
      </c>
      <c r="H115">
        <v>4</v>
      </c>
      <c r="I115">
        <v>101</v>
      </c>
    </row>
    <row r="116" spans="1:9" x14ac:dyDescent="0.25">
      <c r="A116" t="s">
        <v>388</v>
      </c>
      <c r="B116" t="s">
        <v>432</v>
      </c>
      <c r="D116">
        <v>0</v>
      </c>
      <c r="E116">
        <v>0</v>
      </c>
      <c r="F116">
        <v>621</v>
      </c>
      <c r="G116" t="s">
        <v>390</v>
      </c>
      <c r="H116">
        <v>22</v>
      </c>
      <c r="I116">
        <v>235</v>
      </c>
    </row>
    <row r="117" spans="1:9" x14ac:dyDescent="0.25">
      <c r="A117" t="s">
        <v>388</v>
      </c>
      <c r="B117" t="s">
        <v>432</v>
      </c>
      <c r="D117">
        <v>0</v>
      </c>
      <c r="E117">
        <v>0</v>
      </c>
      <c r="F117">
        <v>621</v>
      </c>
      <c r="G117" t="s">
        <v>392</v>
      </c>
      <c r="H117">
        <v>454</v>
      </c>
      <c r="I117">
        <v>555</v>
      </c>
    </row>
    <row r="118" spans="1:9" x14ac:dyDescent="0.25">
      <c r="A118" t="s">
        <v>388</v>
      </c>
      <c r="B118" t="s">
        <v>433</v>
      </c>
      <c r="D118">
        <v>0</v>
      </c>
      <c r="E118">
        <v>0</v>
      </c>
      <c r="F118">
        <v>160</v>
      </c>
      <c r="G118" t="s">
        <v>392</v>
      </c>
      <c r="H118">
        <v>4</v>
      </c>
      <c r="I118">
        <v>101</v>
      </c>
    </row>
    <row r="119" spans="1:9" x14ac:dyDescent="0.25">
      <c r="A119" t="s">
        <v>388</v>
      </c>
      <c r="B119" t="s">
        <v>434</v>
      </c>
      <c r="C119" t="s">
        <v>142</v>
      </c>
      <c r="D119">
        <v>1</v>
      </c>
      <c r="E119">
        <v>1</v>
      </c>
      <c r="F119">
        <v>3900</v>
      </c>
      <c r="G119" t="s">
        <v>390</v>
      </c>
      <c r="H119">
        <v>2752</v>
      </c>
      <c r="I119">
        <v>2892</v>
      </c>
    </row>
    <row r="120" spans="1:9" x14ac:dyDescent="0.25">
      <c r="A120" t="s">
        <v>388</v>
      </c>
      <c r="B120" t="s">
        <v>434</v>
      </c>
      <c r="C120" t="s">
        <v>142</v>
      </c>
      <c r="D120">
        <v>1</v>
      </c>
      <c r="E120">
        <v>1</v>
      </c>
      <c r="F120">
        <v>3900</v>
      </c>
      <c r="G120" t="s">
        <v>400</v>
      </c>
      <c r="H120">
        <v>3694</v>
      </c>
      <c r="I120">
        <v>3837</v>
      </c>
    </row>
    <row r="121" spans="1:9" x14ac:dyDescent="0.25">
      <c r="A121" t="s">
        <v>388</v>
      </c>
      <c r="B121" t="s">
        <v>434</v>
      </c>
      <c r="C121" t="s">
        <v>142</v>
      </c>
      <c r="D121">
        <v>1</v>
      </c>
      <c r="E121">
        <v>1</v>
      </c>
      <c r="F121">
        <v>3900</v>
      </c>
      <c r="G121" t="s">
        <v>392</v>
      </c>
      <c r="H121">
        <v>3091</v>
      </c>
      <c r="I121">
        <v>3191</v>
      </c>
    </row>
    <row r="122" spans="1:9" x14ac:dyDescent="0.25">
      <c r="A122" t="s">
        <v>388</v>
      </c>
      <c r="B122" t="s">
        <v>434</v>
      </c>
      <c r="C122" t="s">
        <v>142</v>
      </c>
      <c r="D122">
        <v>1</v>
      </c>
      <c r="E122">
        <v>1</v>
      </c>
      <c r="F122">
        <v>3900</v>
      </c>
      <c r="G122" t="s">
        <v>392</v>
      </c>
      <c r="H122">
        <v>3416</v>
      </c>
      <c r="I122">
        <v>3524</v>
      </c>
    </row>
    <row r="123" spans="1:9" x14ac:dyDescent="0.25">
      <c r="A123" t="s">
        <v>388</v>
      </c>
      <c r="B123" t="s">
        <v>434</v>
      </c>
      <c r="C123" t="s">
        <v>142</v>
      </c>
      <c r="D123">
        <v>1</v>
      </c>
      <c r="E123">
        <v>1</v>
      </c>
      <c r="F123">
        <v>3900</v>
      </c>
      <c r="G123" t="s">
        <v>402</v>
      </c>
      <c r="H123">
        <v>40</v>
      </c>
      <c r="I123">
        <v>176</v>
      </c>
    </row>
    <row r="124" spans="1:9" x14ac:dyDescent="0.25">
      <c r="A124" t="s">
        <v>388</v>
      </c>
      <c r="B124" t="s">
        <v>434</v>
      </c>
      <c r="C124" t="s">
        <v>142</v>
      </c>
      <c r="D124">
        <v>1</v>
      </c>
      <c r="E124">
        <v>1</v>
      </c>
      <c r="F124">
        <v>3900</v>
      </c>
      <c r="G124" t="s">
        <v>402</v>
      </c>
      <c r="H124">
        <v>299</v>
      </c>
      <c r="I124">
        <v>560</v>
      </c>
    </row>
    <row r="125" spans="1:9" x14ac:dyDescent="0.25">
      <c r="A125" t="s">
        <v>388</v>
      </c>
      <c r="B125" t="s">
        <v>434</v>
      </c>
      <c r="C125" t="s">
        <v>142</v>
      </c>
      <c r="D125">
        <v>1</v>
      </c>
      <c r="E125">
        <v>1</v>
      </c>
      <c r="F125">
        <v>3900</v>
      </c>
      <c r="G125" t="s">
        <v>402</v>
      </c>
      <c r="H125">
        <v>774</v>
      </c>
      <c r="I125">
        <v>935</v>
      </c>
    </row>
    <row r="126" spans="1:9" x14ac:dyDescent="0.25">
      <c r="A126" t="s">
        <v>388</v>
      </c>
      <c r="B126" t="s">
        <v>434</v>
      </c>
      <c r="C126" t="s">
        <v>142</v>
      </c>
      <c r="D126">
        <v>1</v>
      </c>
      <c r="E126">
        <v>1</v>
      </c>
      <c r="F126">
        <v>3900</v>
      </c>
      <c r="G126" t="s">
        <v>402</v>
      </c>
      <c r="H126">
        <v>1172</v>
      </c>
      <c r="I126">
        <v>1307</v>
      </c>
    </row>
    <row r="127" spans="1:9" x14ac:dyDescent="0.25">
      <c r="A127" t="s">
        <v>388</v>
      </c>
      <c r="B127" t="s">
        <v>434</v>
      </c>
      <c r="C127" t="s">
        <v>142</v>
      </c>
      <c r="D127">
        <v>1</v>
      </c>
      <c r="E127">
        <v>1</v>
      </c>
      <c r="F127">
        <v>3900</v>
      </c>
      <c r="G127" t="s">
        <v>402</v>
      </c>
      <c r="H127">
        <v>1324</v>
      </c>
      <c r="I127">
        <v>1563</v>
      </c>
    </row>
    <row r="128" spans="1:9" x14ac:dyDescent="0.25">
      <c r="A128" t="s">
        <v>388</v>
      </c>
      <c r="B128" t="s">
        <v>434</v>
      </c>
      <c r="C128" t="s">
        <v>142</v>
      </c>
      <c r="D128">
        <v>1</v>
      </c>
      <c r="E128">
        <v>1</v>
      </c>
      <c r="F128">
        <v>3900</v>
      </c>
      <c r="G128" t="s">
        <v>402</v>
      </c>
      <c r="H128">
        <v>1966</v>
      </c>
      <c r="I128">
        <v>2231</v>
      </c>
    </row>
    <row r="129" spans="1:9" x14ac:dyDescent="0.25">
      <c r="A129" t="s">
        <v>388</v>
      </c>
      <c r="B129" t="s">
        <v>435</v>
      </c>
      <c r="D129">
        <v>0</v>
      </c>
      <c r="E129">
        <v>0</v>
      </c>
      <c r="F129">
        <v>846</v>
      </c>
      <c r="G129" t="s">
        <v>392</v>
      </c>
      <c r="H129">
        <v>44</v>
      </c>
      <c r="I129">
        <v>116</v>
      </c>
    </row>
    <row r="130" spans="1:9" x14ac:dyDescent="0.25">
      <c r="A130" t="s">
        <v>388</v>
      </c>
      <c r="B130" t="s">
        <v>436</v>
      </c>
      <c r="D130">
        <v>0</v>
      </c>
      <c r="E130">
        <v>0</v>
      </c>
      <c r="F130">
        <v>844</v>
      </c>
      <c r="G130" t="s">
        <v>390</v>
      </c>
      <c r="H130">
        <v>64</v>
      </c>
      <c r="I130">
        <v>364</v>
      </c>
    </row>
    <row r="131" spans="1:9" x14ac:dyDescent="0.25">
      <c r="A131" t="s">
        <v>388</v>
      </c>
      <c r="B131" t="s">
        <v>436</v>
      </c>
      <c r="D131">
        <v>0</v>
      </c>
      <c r="E131">
        <v>0</v>
      </c>
      <c r="F131">
        <v>844</v>
      </c>
      <c r="G131" t="s">
        <v>392</v>
      </c>
      <c r="H131">
        <v>634</v>
      </c>
      <c r="I131">
        <v>733</v>
      </c>
    </row>
    <row r="132" spans="1:9" x14ac:dyDescent="0.25">
      <c r="A132" t="s">
        <v>388</v>
      </c>
      <c r="B132" t="s">
        <v>437</v>
      </c>
      <c r="D132">
        <v>0</v>
      </c>
      <c r="E132">
        <v>0</v>
      </c>
      <c r="F132">
        <v>661</v>
      </c>
      <c r="G132" t="s">
        <v>390</v>
      </c>
      <c r="H132">
        <v>10</v>
      </c>
      <c r="I132">
        <v>264</v>
      </c>
    </row>
    <row r="133" spans="1:9" x14ac:dyDescent="0.25">
      <c r="A133" t="s">
        <v>388</v>
      </c>
      <c r="B133" t="s">
        <v>437</v>
      </c>
      <c r="D133">
        <v>0</v>
      </c>
      <c r="E133">
        <v>0</v>
      </c>
      <c r="F133">
        <v>661</v>
      </c>
      <c r="G133" t="s">
        <v>392</v>
      </c>
      <c r="H133">
        <v>490</v>
      </c>
      <c r="I133">
        <v>589</v>
      </c>
    </row>
    <row r="134" spans="1:9" x14ac:dyDescent="0.25">
      <c r="A134" t="s">
        <v>388</v>
      </c>
      <c r="B134" t="s">
        <v>438</v>
      </c>
      <c r="D134">
        <v>0</v>
      </c>
      <c r="E134">
        <v>0</v>
      </c>
      <c r="F134">
        <v>740</v>
      </c>
      <c r="G134" t="s">
        <v>390</v>
      </c>
      <c r="H134">
        <v>14</v>
      </c>
      <c r="I134">
        <v>263</v>
      </c>
    </row>
    <row r="135" spans="1:9" x14ac:dyDescent="0.25">
      <c r="A135" t="s">
        <v>388</v>
      </c>
      <c r="B135" t="s">
        <v>438</v>
      </c>
      <c r="D135">
        <v>0</v>
      </c>
      <c r="E135">
        <v>0</v>
      </c>
      <c r="F135">
        <v>740</v>
      </c>
      <c r="G135" t="s">
        <v>392</v>
      </c>
      <c r="H135">
        <v>477</v>
      </c>
      <c r="I135">
        <v>581</v>
      </c>
    </row>
    <row r="136" spans="1:9" x14ac:dyDescent="0.25">
      <c r="A136" t="s">
        <v>388</v>
      </c>
      <c r="B136" t="s">
        <v>439</v>
      </c>
      <c r="D136">
        <v>0</v>
      </c>
      <c r="E136">
        <v>0</v>
      </c>
      <c r="F136">
        <v>484</v>
      </c>
      <c r="G136" t="s">
        <v>390</v>
      </c>
      <c r="H136">
        <v>43</v>
      </c>
      <c r="I136">
        <v>119</v>
      </c>
    </row>
    <row r="137" spans="1:9" x14ac:dyDescent="0.25">
      <c r="A137" t="s">
        <v>388</v>
      </c>
      <c r="B137" t="s">
        <v>439</v>
      </c>
      <c r="D137">
        <v>0</v>
      </c>
      <c r="E137">
        <v>0</v>
      </c>
      <c r="F137">
        <v>484</v>
      </c>
      <c r="G137" t="s">
        <v>392</v>
      </c>
      <c r="H137">
        <v>378</v>
      </c>
      <c r="I137">
        <v>483</v>
      </c>
    </row>
    <row r="138" spans="1:9" x14ac:dyDescent="0.25">
      <c r="A138" t="s">
        <v>388</v>
      </c>
      <c r="B138" t="s">
        <v>440</v>
      </c>
      <c r="C138" t="s">
        <v>161</v>
      </c>
      <c r="D138">
        <v>1</v>
      </c>
      <c r="E138">
        <v>1</v>
      </c>
      <c r="F138">
        <v>755</v>
      </c>
      <c r="G138" t="s">
        <v>390</v>
      </c>
      <c r="H138">
        <v>47</v>
      </c>
      <c r="I138">
        <v>175</v>
      </c>
    </row>
    <row r="139" spans="1:9" x14ac:dyDescent="0.25">
      <c r="A139" t="s">
        <v>388</v>
      </c>
      <c r="B139" t="s">
        <v>440</v>
      </c>
      <c r="C139" t="s">
        <v>161</v>
      </c>
      <c r="D139">
        <v>1</v>
      </c>
      <c r="E139">
        <v>1</v>
      </c>
      <c r="F139">
        <v>755</v>
      </c>
      <c r="G139" t="s">
        <v>392</v>
      </c>
      <c r="H139">
        <v>254</v>
      </c>
      <c r="I139">
        <v>357</v>
      </c>
    </row>
    <row r="140" spans="1:9" x14ac:dyDescent="0.25">
      <c r="A140" t="s">
        <v>388</v>
      </c>
      <c r="B140" t="s">
        <v>440</v>
      </c>
      <c r="C140" t="s">
        <v>161</v>
      </c>
      <c r="D140">
        <v>1</v>
      </c>
      <c r="E140">
        <v>1</v>
      </c>
      <c r="F140">
        <v>755</v>
      </c>
      <c r="G140" t="s">
        <v>392</v>
      </c>
      <c r="H140">
        <v>602</v>
      </c>
      <c r="I140">
        <v>713</v>
      </c>
    </row>
    <row r="141" spans="1:9" x14ac:dyDescent="0.25">
      <c r="A141" t="s">
        <v>388</v>
      </c>
      <c r="B141" t="s">
        <v>441</v>
      </c>
      <c r="D141">
        <v>0</v>
      </c>
      <c r="E141">
        <v>0</v>
      </c>
      <c r="F141">
        <v>216</v>
      </c>
      <c r="G141" t="s">
        <v>392</v>
      </c>
      <c r="H141">
        <v>1</v>
      </c>
      <c r="I141">
        <v>58</v>
      </c>
    </row>
    <row r="142" spans="1:9" x14ac:dyDescent="0.25">
      <c r="A142" t="s">
        <v>388</v>
      </c>
      <c r="B142" t="s">
        <v>441</v>
      </c>
      <c r="D142">
        <v>0</v>
      </c>
      <c r="E142">
        <v>0</v>
      </c>
      <c r="F142">
        <v>216</v>
      </c>
      <c r="G142" t="s">
        <v>392</v>
      </c>
      <c r="H142">
        <v>94</v>
      </c>
      <c r="I142">
        <v>182</v>
      </c>
    </row>
    <row r="143" spans="1:9" x14ac:dyDescent="0.25">
      <c r="A143" t="s">
        <v>388</v>
      </c>
      <c r="B143" t="s">
        <v>442</v>
      </c>
      <c r="D143">
        <v>0</v>
      </c>
      <c r="E143">
        <v>0</v>
      </c>
      <c r="F143">
        <v>208</v>
      </c>
      <c r="G143" t="s">
        <v>392</v>
      </c>
      <c r="H143">
        <v>53</v>
      </c>
      <c r="I143">
        <v>82</v>
      </c>
    </row>
    <row r="144" spans="1:9" x14ac:dyDescent="0.25">
      <c r="A144" t="s">
        <v>388</v>
      </c>
      <c r="B144" t="s">
        <v>442</v>
      </c>
      <c r="D144">
        <v>0</v>
      </c>
      <c r="E144">
        <v>0</v>
      </c>
      <c r="F144">
        <v>208</v>
      </c>
      <c r="G144" t="s">
        <v>402</v>
      </c>
      <c r="H144">
        <v>14</v>
      </c>
      <c r="I144">
        <v>201</v>
      </c>
    </row>
    <row r="145" spans="1:9" x14ac:dyDescent="0.25">
      <c r="A145" t="s">
        <v>388</v>
      </c>
      <c r="B145" t="s">
        <v>443</v>
      </c>
      <c r="D145">
        <v>0</v>
      </c>
      <c r="E145">
        <v>0</v>
      </c>
      <c r="F145">
        <v>1231</v>
      </c>
      <c r="G145" t="s">
        <v>390</v>
      </c>
      <c r="H145">
        <v>687</v>
      </c>
      <c r="I145">
        <v>897</v>
      </c>
    </row>
    <row r="146" spans="1:9" x14ac:dyDescent="0.25">
      <c r="A146" t="s">
        <v>388</v>
      </c>
      <c r="B146" t="s">
        <v>443</v>
      </c>
      <c r="D146">
        <v>0</v>
      </c>
      <c r="E146">
        <v>0</v>
      </c>
      <c r="F146">
        <v>1231</v>
      </c>
      <c r="G146" t="s">
        <v>392</v>
      </c>
      <c r="H146">
        <v>1140</v>
      </c>
      <c r="I146">
        <v>1201</v>
      </c>
    </row>
    <row r="147" spans="1:9" x14ac:dyDescent="0.25">
      <c r="A147" t="s">
        <v>388</v>
      </c>
      <c r="B147" t="s">
        <v>443</v>
      </c>
      <c r="D147">
        <v>0</v>
      </c>
      <c r="E147">
        <v>0</v>
      </c>
      <c r="F147">
        <v>1231</v>
      </c>
      <c r="G147" t="s">
        <v>402</v>
      </c>
      <c r="H147">
        <v>1</v>
      </c>
      <c r="I147">
        <v>212</v>
      </c>
    </row>
    <row r="148" spans="1:9" x14ac:dyDescent="0.25">
      <c r="A148" t="s">
        <v>388</v>
      </c>
      <c r="B148" t="s">
        <v>443</v>
      </c>
      <c r="D148">
        <v>0</v>
      </c>
      <c r="E148">
        <v>0</v>
      </c>
      <c r="F148">
        <v>1231</v>
      </c>
      <c r="G148" t="s">
        <v>402</v>
      </c>
      <c r="H148">
        <v>375</v>
      </c>
      <c r="I148">
        <v>660</v>
      </c>
    </row>
    <row r="149" spans="1:9" x14ac:dyDescent="0.25">
      <c r="A149" t="s">
        <v>388</v>
      </c>
      <c r="B149" t="s">
        <v>444</v>
      </c>
      <c r="D149">
        <v>0</v>
      </c>
      <c r="E149">
        <v>0</v>
      </c>
      <c r="F149">
        <v>834</v>
      </c>
      <c r="G149" t="s">
        <v>390</v>
      </c>
      <c r="H149">
        <v>321</v>
      </c>
      <c r="I149">
        <v>520</v>
      </c>
    </row>
    <row r="150" spans="1:9" x14ac:dyDescent="0.25">
      <c r="A150" t="s">
        <v>388</v>
      </c>
      <c r="B150" t="s">
        <v>444</v>
      </c>
      <c r="D150">
        <v>0</v>
      </c>
      <c r="E150">
        <v>0</v>
      </c>
      <c r="F150">
        <v>834</v>
      </c>
      <c r="G150" t="s">
        <v>392</v>
      </c>
      <c r="H150">
        <v>731</v>
      </c>
      <c r="I150">
        <v>827</v>
      </c>
    </row>
    <row r="151" spans="1:9" x14ac:dyDescent="0.25">
      <c r="A151" t="s">
        <v>388</v>
      </c>
      <c r="B151" t="s">
        <v>444</v>
      </c>
      <c r="D151">
        <v>0</v>
      </c>
      <c r="E151">
        <v>0</v>
      </c>
      <c r="F151">
        <v>834</v>
      </c>
      <c r="G151" t="s">
        <v>402</v>
      </c>
      <c r="H151">
        <v>102</v>
      </c>
      <c r="I151">
        <v>246</v>
      </c>
    </row>
    <row r="152" spans="1:9" x14ac:dyDescent="0.25">
      <c r="A152" t="s">
        <v>445</v>
      </c>
      <c r="B152" t="s">
        <v>446</v>
      </c>
      <c r="C152" t="s">
        <v>86</v>
      </c>
      <c r="D152">
        <v>1</v>
      </c>
      <c r="E152">
        <v>1</v>
      </c>
      <c r="F152">
        <v>902</v>
      </c>
      <c r="G152" t="s">
        <v>390</v>
      </c>
      <c r="H152">
        <v>1</v>
      </c>
      <c r="I152">
        <v>151</v>
      </c>
    </row>
    <row r="153" spans="1:9" x14ac:dyDescent="0.25">
      <c r="A153" t="s">
        <v>445</v>
      </c>
      <c r="B153" t="s">
        <v>446</v>
      </c>
      <c r="C153" t="s">
        <v>86</v>
      </c>
      <c r="D153">
        <v>1</v>
      </c>
      <c r="E153">
        <v>1</v>
      </c>
      <c r="F153">
        <v>902</v>
      </c>
      <c r="G153" t="s">
        <v>392</v>
      </c>
      <c r="H153">
        <v>284</v>
      </c>
      <c r="I153">
        <v>387</v>
      </c>
    </row>
    <row r="154" spans="1:9" x14ac:dyDescent="0.25">
      <c r="A154" t="s">
        <v>445</v>
      </c>
      <c r="B154" t="s">
        <v>446</v>
      </c>
      <c r="C154" t="s">
        <v>86</v>
      </c>
      <c r="D154">
        <v>1</v>
      </c>
      <c r="E154">
        <v>1</v>
      </c>
      <c r="F154">
        <v>902</v>
      </c>
      <c r="G154" t="s">
        <v>392</v>
      </c>
      <c r="H154">
        <v>613</v>
      </c>
      <c r="I154">
        <v>740</v>
      </c>
    </row>
    <row r="155" spans="1:9" x14ac:dyDescent="0.25">
      <c r="A155" t="s">
        <v>445</v>
      </c>
      <c r="B155" t="s">
        <v>447</v>
      </c>
      <c r="C155" t="s">
        <v>88</v>
      </c>
      <c r="D155">
        <v>1</v>
      </c>
      <c r="E155">
        <v>1</v>
      </c>
      <c r="F155">
        <v>902</v>
      </c>
      <c r="G155" t="s">
        <v>390</v>
      </c>
      <c r="H155">
        <v>1</v>
      </c>
      <c r="I155">
        <v>151</v>
      </c>
    </row>
    <row r="156" spans="1:9" x14ac:dyDescent="0.25">
      <c r="A156" t="s">
        <v>445</v>
      </c>
      <c r="B156" t="s">
        <v>447</v>
      </c>
      <c r="C156" t="s">
        <v>88</v>
      </c>
      <c r="D156">
        <v>1</v>
      </c>
      <c r="E156">
        <v>1</v>
      </c>
      <c r="F156">
        <v>902</v>
      </c>
      <c r="G156" t="s">
        <v>392</v>
      </c>
      <c r="H156">
        <v>284</v>
      </c>
      <c r="I156">
        <v>387</v>
      </c>
    </row>
    <row r="157" spans="1:9" x14ac:dyDescent="0.25">
      <c r="A157" t="s">
        <v>445</v>
      </c>
      <c r="B157" t="s">
        <v>447</v>
      </c>
      <c r="C157" t="s">
        <v>88</v>
      </c>
      <c r="D157">
        <v>1</v>
      </c>
      <c r="E157">
        <v>1</v>
      </c>
      <c r="F157">
        <v>902</v>
      </c>
      <c r="G157" t="s">
        <v>392</v>
      </c>
      <c r="H157">
        <v>613</v>
      </c>
      <c r="I157">
        <v>740</v>
      </c>
    </row>
    <row r="158" spans="1:9" x14ac:dyDescent="0.25">
      <c r="A158" t="s">
        <v>445</v>
      </c>
      <c r="B158" t="s">
        <v>448</v>
      </c>
      <c r="C158" t="s">
        <v>89</v>
      </c>
      <c r="D158">
        <v>1</v>
      </c>
      <c r="E158">
        <v>1</v>
      </c>
      <c r="F158">
        <v>754</v>
      </c>
      <c r="G158" t="s">
        <v>390</v>
      </c>
      <c r="H158">
        <v>4</v>
      </c>
      <c r="I158">
        <v>145</v>
      </c>
    </row>
    <row r="159" spans="1:9" x14ac:dyDescent="0.25">
      <c r="A159" t="s">
        <v>445</v>
      </c>
      <c r="B159" t="s">
        <v>448</v>
      </c>
      <c r="C159" t="s">
        <v>89</v>
      </c>
      <c r="D159">
        <v>1</v>
      </c>
      <c r="E159">
        <v>1</v>
      </c>
      <c r="F159">
        <v>754</v>
      </c>
      <c r="G159" t="s">
        <v>392</v>
      </c>
      <c r="H159">
        <v>232</v>
      </c>
      <c r="I159">
        <v>334</v>
      </c>
    </row>
    <row r="160" spans="1:9" x14ac:dyDescent="0.25">
      <c r="A160" t="s">
        <v>445</v>
      </c>
      <c r="B160" t="s">
        <v>448</v>
      </c>
      <c r="C160" t="s">
        <v>89</v>
      </c>
      <c r="D160">
        <v>1</v>
      </c>
      <c r="E160">
        <v>1</v>
      </c>
      <c r="F160">
        <v>754</v>
      </c>
      <c r="G160" t="s">
        <v>392</v>
      </c>
      <c r="H160">
        <v>616</v>
      </c>
      <c r="I160">
        <v>740</v>
      </c>
    </row>
    <row r="161" spans="1:9" x14ac:dyDescent="0.25">
      <c r="A161" t="s">
        <v>445</v>
      </c>
      <c r="B161" t="s">
        <v>449</v>
      </c>
      <c r="C161" t="s">
        <v>90</v>
      </c>
      <c r="D161">
        <v>1</v>
      </c>
      <c r="E161">
        <v>1</v>
      </c>
      <c r="F161">
        <v>754</v>
      </c>
      <c r="G161" t="s">
        <v>390</v>
      </c>
      <c r="H161">
        <v>4</v>
      </c>
      <c r="I161">
        <v>138</v>
      </c>
    </row>
    <row r="162" spans="1:9" x14ac:dyDescent="0.25">
      <c r="A162" t="s">
        <v>445</v>
      </c>
      <c r="B162" t="s">
        <v>449</v>
      </c>
      <c r="C162" t="s">
        <v>90</v>
      </c>
      <c r="D162">
        <v>1</v>
      </c>
      <c r="E162">
        <v>1</v>
      </c>
      <c r="F162">
        <v>754</v>
      </c>
      <c r="G162" t="s">
        <v>392</v>
      </c>
      <c r="H162">
        <v>232</v>
      </c>
      <c r="I162">
        <v>334</v>
      </c>
    </row>
    <row r="163" spans="1:9" x14ac:dyDescent="0.25">
      <c r="A163" t="s">
        <v>445</v>
      </c>
      <c r="B163" t="s">
        <v>449</v>
      </c>
      <c r="C163" t="s">
        <v>90</v>
      </c>
      <c r="D163">
        <v>1</v>
      </c>
      <c r="E163">
        <v>1</v>
      </c>
      <c r="F163">
        <v>754</v>
      </c>
      <c r="G163" t="s">
        <v>392</v>
      </c>
      <c r="H163">
        <v>616</v>
      </c>
      <c r="I163">
        <v>716</v>
      </c>
    </row>
    <row r="164" spans="1:9" x14ac:dyDescent="0.25">
      <c r="A164" t="s">
        <v>18</v>
      </c>
      <c r="B164" t="s">
        <v>450</v>
      </c>
      <c r="D164">
        <v>0</v>
      </c>
      <c r="E164">
        <v>0</v>
      </c>
      <c r="F164">
        <v>2798</v>
      </c>
      <c r="G164" t="s">
        <v>399</v>
      </c>
      <c r="H164">
        <v>1536</v>
      </c>
      <c r="I164">
        <v>2030</v>
      </c>
    </row>
    <row r="165" spans="1:9" x14ac:dyDescent="0.25">
      <c r="A165" t="s">
        <v>18</v>
      </c>
      <c r="B165" t="s">
        <v>450</v>
      </c>
      <c r="D165">
        <v>0</v>
      </c>
      <c r="E165">
        <v>0</v>
      </c>
      <c r="F165">
        <v>2798</v>
      </c>
      <c r="G165" t="s">
        <v>401</v>
      </c>
      <c r="H165">
        <v>1174</v>
      </c>
      <c r="I165">
        <v>1346</v>
      </c>
    </row>
    <row r="166" spans="1:9" x14ac:dyDescent="0.25">
      <c r="A166" t="s">
        <v>18</v>
      </c>
      <c r="B166" t="s">
        <v>450</v>
      </c>
      <c r="D166">
        <v>0</v>
      </c>
      <c r="E166">
        <v>0</v>
      </c>
      <c r="F166">
        <v>2798</v>
      </c>
      <c r="G166" t="s">
        <v>451</v>
      </c>
      <c r="H166">
        <v>104</v>
      </c>
      <c r="I166">
        <v>225</v>
      </c>
    </row>
    <row r="167" spans="1:9" x14ac:dyDescent="0.25">
      <c r="A167" t="s">
        <v>18</v>
      </c>
      <c r="B167" t="s">
        <v>450</v>
      </c>
      <c r="D167">
        <v>0</v>
      </c>
      <c r="E167">
        <v>0</v>
      </c>
      <c r="F167">
        <v>2798</v>
      </c>
      <c r="G167" t="s">
        <v>402</v>
      </c>
      <c r="H167">
        <v>586</v>
      </c>
      <c r="I167">
        <v>995</v>
      </c>
    </row>
    <row r="168" spans="1:9" x14ac:dyDescent="0.25">
      <c r="A168" t="s">
        <v>18</v>
      </c>
      <c r="B168" t="s">
        <v>450</v>
      </c>
      <c r="D168">
        <v>0</v>
      </c>
      <c r="E168">
        <v>0</v>
      </c>
      <c r="F168">
        <v>2798</v>
      </c>
      <c r="G168" t="s">
        <v>402</v>
      </c>
      <c r="H168">
        <v>2328</v>
      </c>
      <c r="I168">
        <v>2786</v>
      </c>
    </row>
    <row r="169" spans="1:9" x14ac:dyDescent="0.25">
      <c r="A169" t="s">
        <v>18</v>
      </c>
      <c r="B169" t="s">
        <v>452</v>
      </c>
      <c r="D169">
        <v>0</v>
      </c>
      <c r="E169">
        <v>0</v>
      </c>
      <c r="F169">
        <v>2771</v>
      </c>
      <c r="G169" t="s">
        <v>399</v>
      </c>
      <c r="H169">
        <v>1559</v>
      </c>
      <c r="I169">
        <v>1967</v>
      </c>
    </row>
    <row r="170" spans="1:9" x14ac:dyDescent="0.25">
      <c r="A170" t="s">
        <v>18</v>
      </c>
      <c r="B170" t="s">
        <v>452</v>
      </c>
      <c r="D170">
        <v>0</v>
      </c>
      <c r="E170">
        <v>0</v>
      </c>
      <c r="F170">
        <v>2771</v>
      </c>
      <c r="G170" t="s">
        <v>401</v>
      </c>
      <c r="H170">
        <v>1202</v>
      </c>
      <c r="I170">
        <v>1397</v>
      </c>
    </row>
    <row r="171" spans="1:9" x14ac:dyDescent="0.25">
      <c r="A171" t="s">
        <v>18</v>
      </c>
      <c r="B171" t="s">
        <v>452</v>
      </c>
      <c r="D171">
        <v>0</v>
      </c>
      <c r="E171">
        <v>0</v>
      </c>
      <c r="F171">
        <v>2771</v>
      </c>
      <c r="G171" t="s">
        <v>451</v>
      </c>
      <c r="H171">
        <v>40</v>
      </c>
      <c r="I171">
        <v>239</v>
      </c>
    </row>
    <row r="172" spans="1:9" x14ac:dyDescent="0.25">
      <c r="A172" t="s">
        <v>18</v>
      </c>
      <c r="B172" t="s">
        <v>452</v>
      </c>
      <c r="D172">
        <v>0</v>
      </c>
      <c r="E172">
        <v>0</v>
      </c>
      <c r="F172">
        <v>2771</v>
      </c>
      <c r="G172" t="s">
        <v>402</v>
      </c>
      <c r="H172">
        <v>608</v>
      </c>
      <c r="I172">
        <v>1022</v>
      </c>
    </row>
    <row r="173" spans="1:9" x14ac:dyDescent="0.25">
      <c r="A173" t="s">
        <v>18</v>
      </c>
      <c r="B173" t="s">
        <v>452</v>
      </c>
      <c r="D173">
        <v>0</v>
      </c>
      <c r="E173">
        <v>0</v>
      </c>
      <c r="F173">
        <v>2771</v>
      </c>
      <c r="G173" t="s">
        <v>402</v>
      </c>
      <c r="H173">
        <v>2556</v>
      </c>
      <c r="I173">
        <v>2771</v>
      </c>
    </row>
    <row r="174" spans="1:9" x14ac:dyDescent="0.25">
      <c r="A174" t="s">
        <v>18</v>
      </c>
      <c r="B174" t="s">
        <v>453</v>
      </c>
      <c r="D174">
        <v>0</v>
      </c>
      <c r="E174">
        <v>0</v>
      </c>
      <c r="F174">
        <v>2781</v>
      </c>
      <c r="G174" t="s">
        <v>399</v>
      </c>
      <c r="H174">
        <v>1325</v>
      </c>
      <c r="I174">
        <v>1710</v>
      </c>
    </row>
    <row r="175" spans="1:9" x14ac:dyDescent="0.25">
      <c r="A175" t="s">
        <v>18</v>
      </c>
      <c r="B175" t="s">
        <v>453</v>
      </c>
      <c r="D175">
        <v>0</v>
      </c>
      <c r="E175">
        <v>0</v>
      </c>
      <c r="F175">
        <v>2781</v>
      </c>
      <c r="G175" t="s">
        <v>401</v>
      </c>
      <c r="H175">
        <v>1095</v>
      </c>
      <c r="I175">
        <v>1288</v>
      </c>
    </row>
    <row r="176" spans="1:9" x14ac:dyDescent="0.25">
      <c r="A176" t="s">
        <v>18</v>
      </c>
      <c r="B176" t="s">
        <v>453</v>
      </c>
      <c r="D176">
        <v>0</v>
      </c>
      <c r="E176">
        <v>0</v>
      </c>
      <c r="F176">
        <v>2781</v>
      </c>
      <c r="G176" t="s">
        <v>451</v>
      </c>
      <c r="H176">
        <v>104</v>
      </c>
      <c r="I176">
        <v>225</v>
      </c>
    </row>
    <row r="177" spans="1:9" x14ac:dyDescent="0.25">
      <c r="A177" t="s">
        <v>18</v>
      </c>
      <c r="B177" t="s">
        <v>453</v>
      </c>
      <c r="D177">
        <v>0</v>
      </c>
      <c r="E177">
        <v>0</v>
      </c>
      <c r="F177">
        <v>2781</v>
      </c>
      <c r="G177" t="s">
        <v>402</v>
      </c>
      <c r="H177">
        <v>560</v>
      </c>
      <c r="I177">
        <v>919</v>
      </c>
    </row>
    <row r="178" spans="1:9" x14ac:dyDescent="0.25">
      <c r="A178" t="s">
        <v>18</v>
      </c>
      <c r="B178" t="s">
        <v>453</v>
      </c>
      <c r="D178">
        <v>0</v>
      </c>
      <c r="E178">
        <v>0</v>
      </c>
      <c r="F178">
        <v>2781</v>
      </c>
      <c r="G178" t="s">
        <v>402</v>
      </c>
      <c r="H178">
        <v>2183</v>
      </c>
      <c r="I178">
        <v>2356</v>
      </c>
    </row>
    <row r="179" spans="1:9" x14ac:dyDescent="0.25">
      <c r="A179" t="s">
        <v>18</v>
      </c>
      <c r="B179" t="s">
        <v>453</v>
      </c>
      <c r="D179">
        <v>0</v>
      </c>
      <c r="E179">
        <v>0</v>
      </c>
      <c r="F179">
        <v>2781</v>
      </c>
      <c r="G179" t="s">
        <v>402</v>
      </c>
      <c r="H179">
        <v>2591</v>
      </c>
      <c r="I179">
        <v>2778</v>
      </c>
    </row>
    <row r="180" spans="1:9" x14ac:dyDescent="0.25">
      <c r="A180" t="s">
        <v>18</v>
      </c>
      <c r="B180" t="s">
        <v>454</v>
      </c>
      <c r="D180">
        <v>0</v>
      </c>
      <c r="E180">
        <v>0</v>
      </c>
      <c r="F180">
        <v>2418</v>
      </c>
      <c r="G180" t="s">
        <v>399</v>
      </c>
      <c r="H180">
        <v>1536</v>
      </c>
      <c r="I180">
        <v>1894</v>
      </c>
    </row>
    <row r="181" spans="1:9" x14ac:dyDescent="0.25">
      <c r="A181" t="s">
        <v>18</v>
      </c>
      <c r="B181" t="s">
        <v>454</v>
      </c>
      <c r="D181">
        <v>0</v>
      </c>
      <c r="E181">
        <v>0</v>
      </c>
      <c r="F181">
        <v>2418</v>
      </c>
      <c r="G181" t="s">
        <v>401</v>
      </c>
      <c r="H181">
        <v>1176</v>
      </c>
      <c r="I181">
        <v>1351</v>
      </c>
    </row>
    <row r="182" spans="1:9" x14ac:dyDescent="0.25">
      <c r="A182" t="s">
        <v>18</v>
      </c>
      <c r="B182" t="s">
        <v>454</v>
      </c>
      <c r="D182">
        <v>0</v>
      </c>
      <c r="E182">
        <v>0</v>
      </c>
      <c r="F182">
        <v>2418</v>
      </c>
      <c r="G182" t="s">
        <v>451</v>
      </c>
      <c r="H182">
        <v>1044</v>
      </c>
      <c r="I182">
        <v>224</v>
      </c>
    </row>
    <row r="183" spans="1:9" x14ac:dyDescent="0.25">
      <c r="A183" t="s">
        <v>18</v>
      </c>
      <c r="B183" t="s">
        <v>454</v>
      </c>
      <c r="D183">
        <v>0</v>
      </c>
      <c r="E183">
        <v>0</v>
      </c>
      <c r="F183">
        <v>2418</v>
      </c>
      <c r="G183" t="s">
        <v>402</v>
      </c>
      <c r="H183">
        <v>606</v>
      </c>
      <c r="I183">
        <v>965</v>
      </c>
    </row>
    <row r="184" spans="1:9" x14ac:dyDescent="0.25">
      <c r="A184" t="s">
        <v>18</v>
      </c>
      <c r="B184" t="s">
        <v>454</v>
      </c>
      <c r="D184">
        <v>0</v>
      </c>
      <c r="E184">
        <v>0</v>
      </c>
      <c r="F184">
        <v>2418</v>
      </c>
      <c r="G184" t="s">
        <v>402</v>
      </c>
      <c r="H184">
        <v>2331</v>
      </c>
      <c r="I184">
        <v>2413</v>
      </c>
    </row>
    <row r="185" spans="1:9" x14ac:dyDescent="0.25">
      <c r="A185" t="s">
        <v>18</v>
      </c>
      <c r="B185" t="s">
        <v>455</v>
      </c>
      <c r="C185" t="s">
        <v>17</v>
      </c>
      <c r="D185">
        <v>1</v>
      </c>
      <c r="E185">
        <v>1</v>
      </c>
      <c r="F185">
        <v>4621</v>
      </c>
      <c r="G185" t="s">
        <v>390</v>
      </c>
      <c r="H185">
        <v>33</v>
      </c>
      <c r="I185">
        <v>165</v>
      </c>
    </row>
    <row r="186" spans="1:9" x14ac:dyDescent="0.25">
      <c r="A186" t="s">
        <v>18</v>
      </c>
      <c r="B186" t="s">
        <v>455</v>
      </c>
      <c r="C186" t="s">
        <v>17</v>
      </c>
      <c r="D186">
        <v>1</v>
      </c>
      <c r="E186">
        <v>1</v>
      </c>
      <c r="F186">
        <v>4621</v>
      </c>
      <c r="G186" t="s">
        <v>398</v>
      </c>
      <c r="H186">
        <v>3003</v>
      </c>
      <c r="I186">
        <v>4063</v>
      </c>
    </row>
    <row r="187" spans="1:9" x14ac:dyDescent="0.25">
      <c r="A187" t="s">
        <v>18</v>
      </c>
      <c r="B187" t="s">
        <v>455</v>
      </c>
      <c r="C187" t="s">
        <v>17</v>
      </c>
      <c r="D187">
        <v>1</v>
      </c>
      <c r="E187">
        <v>1</v>
      </c>
      <c r="F187">
        <v>4621</v>
      </c>
      <c r="G187" t="s">
        <v>399</v>
      </c>
      <c r="H187">
        <v>1585</v>
      </c>
      <c r="I187">
        <v>2036</v>
      </c>
    </row>
    <row r="188" spans="1:9" x14ac:dyDescent="0.25">
      <c r="A188" t="s">
        <v>18</v>
      </c>
      <c r="B188" t="s">
        <v>455</v>
      </c>
      <c r="C188" t="s">
        <v>17</v>
      </c>
      <c r="D188">
        <v>1</v>
      </c>
      <c r="E188">
        <v>1</v>
      </c>
      <c r="F188">
        <v>4621</v>
      </c>
      <c r="G188" t="s">
        <v>400</v>
      </c>
      <c r="H188">
        <v>4436</v>
      </c>
      <c r="I188">
        <v>4570</v>
      </c>
    </row>
    <row r="189" spans="1:9" x14ac:dyDescent="0.25">
      <c r="A189" t="s">
        <v>18</v>
      </c>
      <c r="B189" t="s">
        <v>455</v>
      </c>
      <c r="C189" t="s">
        <v>17</v>
      </c>
      <c r="D189">
        <v>1</v>
      </c>
      <c r="E189">
        <v>1</v>
      </c>
      <c r="F189">
        <v>4621</v>
      </c>
      <c r="G189" t="s">
        <v>392</v>
      </c>
      <c r="H189">
        <v>352</v>
      </c>
      <c r="I189">
        <v>456</v>
      </c>
    </row>
    <row r="190" spans="1:9" x14ac:dyDescent="0.25">
      <c r="A190" t="s">
        <v>18</v>
      </c>
      <c r="B190" t="s">
        <v>455</v>
      </c>
      <c r="C190" t="s">
        <v>17</v>
      </c>
      <c r="D190">
        <v>1</v>
      </c>
      <c r="E190">
        <v>1</v>
      </c>
      <c r="F190">
        <v>4621</v>
      </c>
      <c r="G190" t="s">
        <v>392</v>
      </c>
      <c r="H190">
        <v>712</v>
      </c>
      <c r="I190">
        <v>828</v>
      </c>
    </row>
    <row r="191" spans="1:9" x14ac:dyDescent="0.25">
      <c r="A191" t="s">
        <v>18</v>
      </c>
      <c r="B191" t="s">
        <v>455</v>
      </c>
      <c r="C191" t="s">
        <v>17</v>
      </c>
      <c r="D191">
        <v>1</v>
      </c>
      <c r="E191">
        <v>1</v>
      </c>
      <c r="F191">
        <v>4621</v>
      </c>
      <c r="G191" t="s">
        <v>401</v>
      </c>
      <c r="H191">
        <v>1198</v>
      </c>
      <c r="I191">
        <v>1392</v>
      </c>
    </row>
    <row r="192" spans="1:9" x14ac:dyDescent="0.25">
      <c r="A192" t="s">
        <v>18</v>
      </c>
      <c r="B192" t="s">
        <v>455</v>
      </c>
      <c r="C192" t="s">
        <v>17</v>
      </c>
      <c r="D192">
        <v>1</v>
      </c>
      <c r="E192">
        <v>1</v>
      </c>
      <c r="F192">
        <v>4621</v>
      </c>
      <c r="G192" t="s">
        <v>415</v>
      </c>
      <c r="H192">
        <v>2137</v>
      </c>
      <c r="I192">
        <v>2188</v>
      </c>
    </row>
    <row r="193" spans="1:9" x14ac:dyDescent="0.25">
      <c r="A193" t="s">
        <v>18</v>
      </c>
      <c r="B193" t="s">
        <v>455</v>
      </c>
      <c r="C193" t="s">
        <v>17</v>
      </c>
      <c r="D193">
        <v>1</v>
      </c>
      <c r="E193">
        <v>1</v>
      </c>
      <c r="F193">
        <v>4621</v>
      </c>
      <c r="G193" t="s">
        <v>451</v>
      </c>
      <c r="H193">
        <v>942</v>
      </c>
      <c r="I193">
        <v>1029</v>
      </c>
    </row>
    <row r="194" spans="1:9" x14ac:dyDescent="0.25">
      <c r="A194" t="s">
        <v>18</v>
      </c>
      <c r="B194" t="s">
        <v>456</v>
      </c>
      <c r="D194">
        <v>0</v>
      </c>
      <c r="E194">
        <v>0</v>
      </c>
      <c r="F194">
        <v>462</v>
      </c>
      <c r="G194" t="s">
        <v>419</v>
      </c>
      <c r="H194">
        <v>8</v>
      </c>
      <c r="I194">
        <v>132</v>
      </c>
    </row>
    <row r="195" spans="1:9" x14ac:dyDescent="0.25">
      <c r="A195" t="s">
        <v>18</v>
      </c>
      <c r="B195" t="s">
        <v>456</v>
      </c>
      <c r="D195">
        <v>0</v>
      </c>
      <c r="E195">
        <v>0</v>
      </c>
      <c r="F195">
        <v>462</v>
      </c>
      <c r="G195" t="s">
        <v>402</v>
      </c>
      <c r="H195">
        <v>77</v>
      </c>
      <c r="I195">
        <v>287</v>
      </c>
    </row>
    <row r="196" spans="1:9" x14ac:dyDescent="0.25">
      <c r="A196" t="s">
        <v>18</v>
      </c>
      <c r="B196" t="s">
        <v>457</v>
      </c>
      <c r="D196">
        <v>0</v>
      </c>
      <c r="E196">
        <v>0</v>
      </c>
      <c r="F196">
        <v>916</v>
      </c>
      <c r="G196" t="s">
        <v>451</v>
      </c>
      <c r="H196">
        <v>36</v>
      </c>
      <c r="I196">
        <v>198</v>
      </c>
    </row>
    <row r="197" spans="1:9" x14ac:dyDescent="0.25">
      <c r="A197" t="s">
        <v>18</v>
      </c>
      <c r="B197" t="s">
        <v>458</v>
      </c>
      <c r="D197">
        <v>0</v>
      </c>
      <c r="E197">
        <v>0</v>
      </c>
      <c r="F197">
        <v>1369</v>
      </c>
      <c r="G197" t="s">
        <v>451</v>
      </c>
      <c r="H197">
        <v>84</v>
      </c>
      <c r="I197">
        <v>170</v>
      </c>
    </row>
    <row r="198" spans="1:9" x14ac:dyDescent="0.25">
      <c r="A198" t="s">
        <v>18</v>
      </c>
      <c r="B198" t="s">
        <v>458</v>
      </c>
      <c r="D198">
        <v>0</v>
      </c>
      <c r="E198">
        <v>0</v>
      </c>
      <c r="F198">
        <v>1369</v>
      </c>
      <c r="G198" t="s">
        <v>402</v>
      </c>
      <c r="H198">
        <v>959</v>
      </c>
      <c r="I198">
        <v>1366</v>
      </c>
    </row>
    <row r="199" spans="1:9" x14ac:dyDescent="0.25">
      <c r="A199" t="s">
        <v>18</v>
      </c>
      <c r="B199" t="s">
        <v>459</v>
      </c>
      <c r="D199">
        <v>0</v>
      </c>
      <c r="E199">
        <v>0</v>
      </c>
      <c r="F199">
        <v>270</v>
      </c>
      <c r="G199" t="s">
        <v>419</v>
      </c>
      <c r="H199">
        <v>56</v>
      </c>
      <c r="I199">
        <v>182</v>
      </c>
    </row>
    <row r="200" spans="1:9" x14ac:dyDescent="0.25">
      <c r="A200" t="s">
        <v>18</v>
      </c>
      <c r="B200" t="s">
        <v>460</v>
      </c>
      <c r="D200">
        <v>0</v>
      </c>
      <c r="E200">
        <v>0</v>
      </c>
      <c r="F200">
        <v>503</v>
      </c>
      <c r="G200" t="s">
        <v>451</v>
      </c>
      <c r="H200">
        <v>82</v>
      </c>
      <c r="I200">
        <v>167</v>
      </c>
    </row>
    <row r="201" spans="1:9" x14ac:dyDescent="0.25">
      <c r="A201" t="s">
        <v>18</v>
      </c>
      <c r="B201" t="s">
        <v>461</v>
      </c>
      <c r="D201">
        <v>0</v>
      </c>
      <c r="E201">
        <v>0</v>
      </c>
      <c r="F201">
        <v>1357</v>
      </c>
      <c r="G201" t="s">
        <v>419</v>
      </c>
      <c r="H201">
        <v>41</v>
      </c>
      <c r="I201">
        <v>225</v>
      </c>
    </row>
    <row r="202" spans="1:9" x14ac:dyDescent="0.25">
      <c r="A202" t="s">
        <v>18</v>
      </c>
      <c r="B202" t="s">
        <v>461</v>
      </c>
      <c r="D202">
        <v>0</v>
      </c>
      <c r="E202">
        <v>0</v>
      </c>
      <c r="F202">
        <v>1357</v>
      </c>
      <c r="G202" t="s">
        <v>402</v>
      </c>
      <c r="H202">
        <v>578</v>
      </c>
      <c r="I202">
        <v>915</v>
      </c>
    </row>
    <row r="203" spans="1:9" x14ac:dyDescent="0.25">
      <c r="A203" t="s">
        <v>18</v>
      </c>
      <c r="B203" t="s">
        <v>462</v>
      </c>
      <c r="D203">
        <v>0</v>
      </c>
      <c r="E203">
        <v>0</v>
      </c>
      <c r="F203">
        <v>1628</v>
      </c>
      <c r="G203" t="s">
        <v>419</v>
      </c>
      <c r="H203">
        <v>31</v>
      </c>
      <c r="I203">
        <v>227</v>
      </c>
    </row>
    <row r="204" spans="1:9" x14ac:dyDescent="0.25">
      <c r="A204" t="s">
        <v>18</v>
      </c>
      <c r="B204" t="s">
        <v>462</v>
      </c>
      <c r="D204">
        <v>0</v>
      </c>
      <c r="E204">
        <v>0</v>
      </c>
      <c r="F204">
        <v>1628</v>
      </c>
      <c r="G204" t="s">
        <v>451</v>
      </c>
      <c r="H204">
        <v>310</v>
      </c>
      <c r="I204">
        <v>393</v>
      </c>
    </row>
    <row r="205" spans="1:9" x14ac:dyDescent="0.25">
      <c r="A205" t="s">
        <v>18</v>
      </c>
      <c r="B205" t="s">
        <v>462</v>
      </c>
      <c r="D205">
        <v>0</v>
      </c>
      <c r="E205">
        <v>0</v>
      </c>
      <c r="F205">
        <v>1628</v>
      </c>
      <c r="G205" t="s">
        <v>402</v>
      </c>
      <c r="H205">
        <v>25</v>
      </c>
      <c r="I205">
        <v>70</v>
      </c>
    </row>
    <row r="206" spans="1:9" x14ac:dyDescent="0.25">
      <c r="A206" t="s">
        <v>18</v>
      </c>
      <c r="B206" t="s">
        <v>462</v>
      </c>
      <c r="D206">
        <v>0</v>
      </c>
      <c r="E206">
        <v>0</v>
      </c>
      <c r="F206">
        <v>1628</v>
      </c>
      <c r="G206" t="s">
        <v>402</v>
      </c>
      <c r="H206">
        <v>1220</v>
      </c>
      <c r="I206">
        <v>1578</v>
      </c>
    </row>
    <row r="207" spans="1:9" x14ac:dyDescent="0.25">
      <c r="A207" t="s">
        <v>18</v>
      </c>
      <c r="B207" t="s">
        <v>462</v>
      </c>
      <c r="D207">
        <v>0</v>
      </c>
      <c r="E207">
        <v>0</v>
      </c>
      <c r="F207">
        <v>1628</v>
      </c>
      <c r="G207" t="s">
        <v>402</v>
      </c>
      <c r="H207">
        <v>168</v>
      </c>
      <c r="I207">
        <v>339</v>
      </c>
    </row>
    <row r="208" spans="1:9" x14ac:dyDescent="0.25">
      <c r="A208" t="s">
        <v>18</v>
      </c>
      <c r="B208" t="s">
        <v>463</v>
      </c>
      <c r="D208">
        <v>0</v>
      </c>
      <c r="E208">
        <v>0</v>
      </c>
      <c r="F208">
        <v>433</v>
      </c>
      <c r="G208" t="s">
        <v>402</v>
      </c>
      <c r="H208">
        <v>8</v>
      </c>
      <c r="I208">
        <v>427</v>
      </c>
    </row>
    <row r="209" spans="1:9" x14ac:dyDescent="0.25">
      <c r="A209" t="s">
        <v>18</v>
      </c>
      <c r="B209" t="s">
        <v>464</v>
      </c>
      <c r="D209">
        <v>0</v>
      </c>
      <c r="E209">
        <v>0</v>
      </c>
      <c r="F209">
        <v>403</v>
      </c>
      <c r="G209" t="s">
        <v>451</v>
      </c>
      <c r="H209">
        <v>159</v>
      </c>
      <c r="I209">
        <v>365</v>
      </c>
    </row>
    <row r="210" spans="1:9" x14ac:dyDescent="0.25">
      <c r="A210" t="s">
        <v>18</v>
      </c>
      <c r="B210" t="s">
        <v>464</v>
      </c>
      <c r="D210">
        <v>0</v>
      </c>
      <c r="E210">
        <v>0</v>
      </c>
      <c r="F210">
        <v>403</v>
      </c>
      <c r="G210" t="s">
        <v>402</v>
      </c>
      <c r="H210">
        <v>6</v>
      </c>
      <c r="I210">
        <v>91</v>
      </c>
    </row>
    <row r="211" spans="1:9" x14ac:dyDescent="0.25">
      <c r="A211" t="s">
        <v>18</v>
      </c>
      <c r="B211" t="s">
        <v>465</v>
      </c>
      <c r="C211" t="s">
        <v>51</v>
      </c>
      <c r="D211">
        <v>0</v>
      </c>
      <c r="E211">
        <v>0</v>
      </c>
      <c r="F211">
        <v>674</v>
      </c>
      <c r="G211" t="s">
        <v>390</v>
      </c>
      <c r="H211">
        <v>353</v>
      </c>
      <c r="I211">
        <v>490</v>
      </c>
    </row>
    <row r="212" spans="1:9" x14ac:dyDescent="0.25">
      <c r="A212" t="s">
        <v>18</v>
      </c>
      <c r="B212" t="s">
        <v>465</v>
      </c>
      <c r="C212" t="s">
        <v>51</v>
      </c>
      <c r="D212">
        <v>0</v>
      </c>
      <c r="E212">
        <v>0</v>
      </c>
      <c r="F212">
        <v>674</v>
      </c>
      <c r="G212" t="s">
        <v>398</v>
      </c>
      <c r="H212">
        <v>245</v>
      </c>
      <c r="I212">
        <v>340</v>
      </c>
    </row>
    <row r="213" spans="1:9" x14ac:dyDescent="0.25">
      <c r="A213" t="s">
        <v>18</v>
      </c>
      <c r="B213" t="s">
        <v>465</v>
      </c>
      <c r="C213" t="s">
        <v>51</v>
      </c>
      <c r="D213">
        <v>0</v>
      </c>
      <c r="E213">
        <v>0</v>
      </c>
      <c r="F213">
        <v>674</v>
      </c>
      <c r="G213" t="s">
        <v>419</v>
      </c>
      <c r="H213">
        <v>2</v>
      </c>
      <c r="I213">
        <v>243</v>
      </c>
    </row>
    <row r="214" spans="1:9" x14ac:dyDescent="0.25">
      <c r="A214" t="s">
        <v>18</v>
      </c>
      <c r="B214" t="s">
        <v>465</v>
      </c>
      <c r="C214" t="s">
        <v>51</v>
      </c>
      <c r="D214">
        <v>0</v>
      </c>
      <c r="E214">
        <v>0</v>
      </c>
      <c r="F214">
        <v>674</v>
      </c>
      <c r="G214" t="s">
        <v>392</v>
      </c>
      <c r="H214">
        <v>575</v>
      </c>
      <c r="I214">
        <v>674</v>
      </c>
    </row>
    <row r="215" spans="1:9" x14ac:dyDescent="0.25">
      <c r="A215" t="s">
        <v>18</v>
      </c>
      <c r="B215" t="s">
        <v>466</v>
      </c>
      <c r="D215">
        <v>0</v>
      </c>
      <c r="E215">
        <v>0</v>
      </c>
      <c r="F215">
        <v>361</v>
      </c>
      <c r="G215" t="s">
        <v>392</v>
      </c>
      <c r="H215">
        <v>229</v>
      </c>
      <c r="I215">
        <v>333</v>
      </c>
    </row>
    <row r="216" spans="1:9" x14ac:dyDescent="0.25">
      <c r="A216" t="s">
        <v>18</v>
      </c>
      <c r="B216" t="s">
        <v>467</v>
      </c>
      <c r="C216" t="s">
        <v>54</v>
      </c>
      <c r="D216">
        <v>1</v>
      </c>
      <c r="E216">
        <v>1</v>
      </c>
      <c r="F216">
        <v>2770</v>
      </c>
      <c r="G216" t="s">
        <v>390</v>
      </c>
      <c r="H216">
        <v>262</v>
      </c>
      <c r="I216">
        <v>395</v>
      </c>
    </row>
    <row r="217" spans="1:9" x14ac:dyDescent="0.25">
      <c r="A217" t="s">
        <v>18</v>
      </c>
      <c r="B217" t="s">
        <v>467</v>
      </c>
      <c r="C217" t="s">
        <v>54</v>
      </c>
      <c r="D217">
        <v>1</v>
      </c>
      <c r="E217">
        <v>1</v>
      </c>
      <c r="F217">
        <v>2770</v>
      </c>
      <c r="G217" t="s">
        <v>398</v>
      </c>
      <c r="H217">
        <v>2161</v>
      </c>
      <c r="I217">
        <v>2533</v>
      </c>
    </row>
    <row r="218" spans="1:9" x14ac:dyDescent="0.25">
      <c r="A218" t="s">
        <v>18</v>
      </c>
      <c r="B218" t="s">
        <v>467</v>
      </c>
      <c r="C218" t="s">
        <v>54</v>
      </c>
      <c r="D218">
        <v>1</v>
      </c>
      <c r="E218">
        <v>1</v>
      </c>
      <c r="F218">
        <v>2770</v>
      </c>
      <c r="G218" t="s">
        <v>399</v>
      </c>
      <c r="H218">
        <v>1501</v>
      </c>
      <c r="I218">
        <v>1883</v>
      </c>
    </row>
    <row r="219" spans="1:9" x14ac:dyDescent="0.25">
      <c r="A219" t="s">
        <v>18</v>
      </c>
      <c r="B219" t="s">
        <v>467</v>
      </c>
      <c r="C219" t="s">
        <v>54</v>
      </c>
      <c r="D219">
        <v>1</v>
      </c>
      <c r="E219">
        <v>1</v>
      </c>
      <c r="F219">
        <v>2770</v>
      </c>
      <c r="G219" t="s">
        <v>400</v>
      </c>
      <c r="H219">
        <v>2616</v>
      </c>
      <c r="I219">
        <v>2737</v>
      </c>
    </row>
    <row r="220" spans="1:9" x14ac:dyDescent="0.25">
      <c r="A220" t="s">
        <v>18</v>
      </c>
      <c r="B220" t="s">
        <v>467</v>
      </c>
      <c r="C220" t="s">
        <v>54</v>
      </c>
      <c r="D220">
        <v>1</v>
      </c>
      <c r="E220">
        <v>1</v>
      </c>
      <c r="F220">
        <v>2770</v>
      </c>
      <c r="G220" t="s">
        <v>419</v>
      </c>
      <c r="H220">
        <v>50</v>
      </c>
      <c r="I220">
        <v>214</v>
      </c>
    </row>
    <row r="221" spans="1:9" x14ac:dyDescent="0.25">
      <c r="A221" t="s">
        <v>18</v>
      </c>
      <c r="B221" t="s">
        <v>467</v>
      </c>
      <c r="C221" t="s">
        <v>54</v>
      </c>
      <c r="D221">
        <v>1</v>
      </c>
      <c r="E221">
        <v>1</v>
      </c>
      <c r="F221">
        <v>2770</v>
      </c>
      <c r="G221" t="s">
        <v>392</v>
      </c>
      <c r="H221">
        <v>489</v>
      </c>
      <c r="I221">
        <v>593</v>
      </c>
    </row>
    <row r="222" spans="1:9" x14ac:dyDescent="0.25">
      <c r="A222" t="s">
        <v>18</v>
      </c>
      <c r="B222" t="s">
        <v>467</v>
      </c>
      <c r="C222" t="s">
        <v>54</v>
      </c>
      <c r="D222">
        <v>1</v>
      </c>
      <c r="E222">
        <v>1</v>
      </c>
      <c r="F222">
        <v>2770</v>
      </c>
      <c r="G222" t="s">
        <v>392</v>
      </c>
      <c r="H222">
        <v>858</v>
      </c>
      <c r="I222">
        <v>975</v>
      </c>
    </row>
    <row r="223" spans="1:9" x14ac:dyDescent="0.25">
      <c r="A223" t="s">
        <v>18</v>
      </c>
      <c r="B223" t="s">
        <v>467</v>
      </c>
      <c r="C223" t="s">
        <v>54</v>
      </c>
      <c r="D223">
        <v>1</v>
      </c>
      <c r="E223">
        <v>1</v>
      </c>
      <c r="F223">
        <v>2770</v>
      </c>
      <c r="G223" t="s">
        <v>401</v>
      </c>
      <c r="H223">
        <v>1128</v>
      </c>
      <c r="I223">
        <v>1322</v>
      </c>
    </row>
    <row r="224" spans="1:9" x14ac:dyDescent="0.25">
      <c r="A224" t="s">
        <v>18</v>
      </c>
      <c r="B224" t="s">
        <v>467</v>
      </c>
      <c r="C224" t="s">
        <v>54</v>
      </c>
      <c r="D224">
        <v>1</v>
      </c>
      <c r="E224">
        <v>1</v>
      </c>
      <c r="F224">
        <v>2770</v>
      </c>
      <c r="G224" t="s">
        <v>415</v>
      </c>
      <c r="H224">
        <v>2061</v>
      </c>
      <c r="I224">
        <v>2117</v>
      </c>
    </row>
    <row r="225" spans="1:9" x14ac:dyDescent="0.25">
      <c r="A225" t="s">
        <v>18</v>
      </c>
      <c r="B225" t="s">
        <v>468</v>
      </c>
      <c r="D225">
        <v>0</v>
      </c>
      <c r="E225">
        <v>0</v>
      </c>
      <c r="F225">
        <v>403</v>
      </c>
      <c r="G225" t="s">
        <v>451</v>
      </c>
      <c r="H225">
        <v>159</v>
      </c>
      <c r="I225">
        <v>365</v>
      </c>
    </row>
    <row r="226" spans="1:9" x14ac:dyDescent="0.25">
      <c r="A226" t="s">
        <v>18</v>
      </c>
      <c r="B226" t="s">
        <v>468</v>
      </c>
      <c r="D226">
        <v>0</v>
      </c>
      <c r="E226">
        <v>0</v>
      </c>
      <c r="F226">
        <v>403</v>
      </c>
      <c r="G226" t="s">
        <v>402</v>
      </c>
      <c r="H226">
        <v>6</v>
      </c>
      <c r="I226">
        <v>91</v>
      </c>
    </row>
    <row r="227" spans="1:9" x14ac:dyDescent="0.25">
      <c r="A227" t="s">
        <v>18</v>
      </c>
      <c r="B227" t="s">
        <v>469</v>
      </c>
      <c r="D227">
        <v>0</v>
      </c>
      <c r="E227">
        <v>0</v>
      </c>
      <c r="F227">
        <v>433</v>
      </c>
      <c r="G227" t="s">
        <v>402</v>
      </c>
      <c r="H227">
        <v>8</v>
      </c>
      <c r="I227">
        <v>427</v>
      </c>
    </row>
    <row r="228" spans="1:9" x14ac:dyDescent="0.25">
      <c r="A228" t="s">
        <v>18</v>
      </c>
      <c r="B228" t="s">
        <v>470</v>
      </c>
      <c r="C228" t="s">
        <v>57</v>
      </c>
      <c r="D228">
        <v>0</v>
      </c>
      <c r="E228">
        <v>0</v>
      </c>
      <c r="F228">
        <v>1803</v>
      </c>
      <c r="G228" t="s">
        <v>398</v>
      </c>
      <c r="H228">
        <v>116</v>
      </c>
      <c r="I228">
        <v>574</v>
      </c>
    </row>
    <row r="229" spans="1:9" x14ac:dyDescent="0.25">
      <c r="A229" t="s">
        <v>18</v>
      </c>
      <c r="B229" t="s">
        <v>470</v>
      </c>
      <c r="C229" t="s">
        <v>57</v>
      </c>
      <c r="D229">
        <v>0</v>
      </c>
      <c r="E229">
        <v>0</v>
      </c>
      <c r="F229">
        <v>1803</v>
      </c>
      <c r="G229" t="s">
        <v>419</v>
      </c>
      <c r="H229">
        <v>352</v>
      </c>
      <c r="I229">
        <v>440</v>
      </c>
    </row>
    <row r="230" spans="1:9" x14ac:dyDescent="0.25">
      <c r="A230" t="s">
        <v>18</v>
      </c>
      <c r="B230" t="s">
        <v>470</v>
      </c>
      <c r="C230" t="s">
        <v>57</v>
      </c>
      <c r="D230">
        <v>0</v>
      </c>
      <c r="E230">
        <v>0</v>
      </c>
      <c r="F230">
        <v>1803</v>
      </c>
      <c r="G230" t="s">
        <v>402</v>
      </c>
      <c r="H230">
        <v>999</v>
      </c>
      <c r="I230">
        <v>1757</v>
      </c>
    </row>
    <row r="231" spans="1:9" x14ac:dyDescent="0.25">
      <c r="A231" t="s">
        <v>18</v>
      </c>
      <c r="B231" t="s">
        <v>471</v>
      </c>
      <c r="C231" t="s">
        <v>58</v>
      </c>
      <c r="D231">
        <v>1</v>
      </c>
      <c r="E231">
        <v>1</v>
      </c>
      <c r="F231">
        <v>2770</v>
      </c>
      <c r="G231" t="s">
        <v>390</v>
      </c>
      <c r="H231">
        <v>262</v>
      </c>
      <c r="I231">
        <v>395</v>
      </c>
    </row>
    <row r="232" spans="1:9" x14ac:dyDescent="0.25">
      <c r="A232" t="s">
        <v>18</v>
      </c>
      <c r="B232" t="s">
        <v>471</v>
      </c>
      <c r="C232" t="s">
        <v>58</v>
      </c>
      <c r="D232">
        <v>1</v>
      </c>
      <c r="E232">
        <v>1</v>
      </c>
      <c r="F232">
        <v>2770</v>
      </c>
      <c r="G232" t="s">
        <v>398</v>
      </c>
      <c r="H232">
        <v>2161</v>
      </c>
      <c r="I232">
        <v>2533</v>
      </c>
    </row>
    <row r="233" spans="1:9" x14ac:dyDescent="0.25">
      <c r="A233" t="s">
        <v>18</v>
      </c>
      <c r="B233" t="s">
        <v>471</v>
      </c>
      <c r="C233" t="s">
        <v>58</v>
      </c>
      <c r="D233">
        <v>1</v>
      </c>
      <c r="E233">
        <v>1</v>
      </c>
      <c r="F233">
        <v>2770</v>
      </c>
      <c r="G233" t="s">
        <v>399</v>
      </c>
      <c r="H233">
        <v>1501</v>
      </c>
      <c r="I233">
        <v>1883</v>
      </c>
    </row>
    <row r="234" spans="1:9" x14ac:dyDescent="0.25">
      <c r="A234" t="s">
        <v>18</v>
      </c>
      <c r="B234" t="s">
        <v>471</v>
      </c>
      <c r="C234" t="s">
        <v>58</v>
      </c>
      <c r="D234">
        <v>1</v>
      </c>
      <c r="E234">
        <v>1</v>
      </c>
      <c r="F234">
        <v>2770</v>
      </c>
      <c r="G234" t="s">
        <v>400</v>
      </c>
      <c r="H234">
        <v>2616</v>
      </c>
      <c r="I234">
        <v>2737</v>
      </c>
    </row>
    <row r="235" spans="1:9" x14ac:dyDescent="0.25">
      <c r="A235" t="s">
        <v>18</v>
      </c>
      <c r="B235" t="s">
        <v>471</v>
      </c>
      <c r="C235" t="s">
        <v>58</v>
      </c>
      <c r="D235">
        <v>1</v>
      </c>
      <c r="E235">
        <v>1</v>
      </c>
      <c r="F235">
        <v>2770</v>
      </c>
      <c r="G235" t="s">
        <v>419</v>
      </c>
      <c r="H235">
        <v>50</v>
      </c>
      <c r="I235">
        <v>214</v>
      </c>
    </row>
    <row r="236" spans="1:9" x14ac:dyDescent="0.25">
      <c r="A236" t="s">
        <v>18</v>
      </c>
      <c r="B236" t="s">
        <v>471</v>
      </c>
      <c r="C236" t="s">
        <v>58</v>
      </c>
      <c r="D236">
        <v>1</v>
      </c>
      <c r="E236">
        <v>1</v>
      </c>
      <c r="F236">
        <v>2770</v>
      </c>
      <c r="G236" t="s">
        <v>392</v>
      </c>
      <c r="H236">
        <v>489</v>
      </c>
      <c r="I236">
        <v>593</v>
      </c>
    </row>
    <row r="237" spans="1:9" x14ac:dyDescent="0.25">
      <c r="A237" t="s">
        <v>18</v>
      </c>
      <c r="B237" t="s">
        <v>471</v>
      </c>
      <c r="C237" t="s">
        <v>58</v>
      </c>
      <c r="D237">
        <v>1</v>
      </c>
      <c r="E237">
        <v>1</v>
      </c>
      <c r="F237">
        <v>2770</v>
      </c>
      <c r="G237" t="s">
        <v>392</v>
      </c>
      <c r="H237">
        <v>858</v>
      </c>
      <c r="I237">
        <v>975</v>
      </c>
    </row>
    <row r="238" spans="1:9" x14ac:dyDescent="0.25">
      <c r="A238" t="s">
        <v>18</v>
      </c>
      <c r="B238" t="s">
        <v>471</v>
      </c>
      <c r="C238" t="s">
        <v>58</v>
      </c>
      <c r="D238">
        <v>1</v>
      </c>
      <c r="E238">
        <v>1</v>
      </c>
      <c r="F238">
        <v>2770</v>
      </c>
      <c r="G238" t="s">
        <v>401</v>
      </c>
      <c r="H238">
        <v>1128</v>
      </c>
      <c r="I238">
        <v>1322</v>
      </c>
    </row>
    <row r="239" spans="1:9" x14ac:dyDescent="0.25">
      <c r="A239" t="s">
        <v>18</v>
      </c>
      <c r="B239" t="s">
        <v>471</v>
      </c>
      <c r="C239" t="s">
        <v>58</v>
      </c>
      <c r="D239">
        <v>1</v>
      </c>
      <c r="E239">
        <v>1</v>
      </c>
      <c r="F239">
        <v>2770</v>
      </c>
      <c r="G239" t="s">
        <v>415</v>
      </c>
      <c r="H239">
        <v>2061</v>
      </c>
      <c r="I239">
        <v>2117</v>
      </c>
    </row>
    <row r="240" spans="1:9" x14ac:dyDescent="0.25">
      <c r="A240" t="s">
        <v>18</v>
      </c>
      <c r="B240" t="s">
        <v>472</v>
      </c>
      <c r="C240" t="s">
        <v>53</v>
      </c>
      <c r="D240">
        <v>1</v>
      </c>
      <c r="E240">
        <v>1</v>
      </c>
      <c r="F240">
        <v>2770</v>
      </c>
      <c r="G240" t="s">
        <v>390</v>
      </c>
      <c r="H240">
        <v>262</v>
      </c>
      <c r="I240">
        <v>395</v>
      </c>
    </row>
    <row r="241" spans="1:9" x14ac:dyDescent="0.25">
      <c r="A241" t="s">
        <v>18</v>
      </c>
      <c r="B241" t="s">
        <v>472</v>
      </c>
      <c r="C241" t="s">
        <v>53</v>
      </c>
      <c r="D241">
        <v>1</v>
      </c>
      <c r="E241">
        <v>1</v>
      </c>
      <c r="F241">
        <v>2770</v>
      </c>
      <c r="G241" t="s">
        <v>398</v>
      </c>
      <c r="H241">
        <v>2161</v>
      </c>
      <c r="I241">
        <v>2533</v>
      </c>
    </row>
    <row r="242" spans="1:9" x14ac:dyDescent="0.25">
      <c r="A242" t="s">
        <v>18</v>
      </c>
      <c r="B242" t="s">
        <v>472</v>
      </c>
      <c r="C242" t="s">
        <v>53</v>
      </c>
      <c r="D242">
        <v>1</v>
      </c>
      <c r="E242">
        <v>1</v>
      </c>
      <c r="F242">
        <v>2770</v>
      </c>
      <c r="G242" t="s">
        <v>399</v>
      </c>
      <c r="H242">
        <v>1501</v>
      </c>
      <c r="I242">
        <v>1883</v>
      </c>
    </row>
    <row r="243" spans="1:9" x14ac:dyDescent="0.25">
      <c r="A243" t="s">
        <v>18</v>
      </c>
      <c r="B243" t="s">
        <v>472</v>
      </c>
      <c r="C243" t="s">
        <v>53</v>
      </c>
      <c r="D243">
        <v>1</v>
      </c>
      <c r="E243">
        <v>1</v>
      </c>
      <c r="F243">
        <v>2770</v>
      </c>
      <c r="G243" t="s">
        <v>400</v>
      </c>
      <c r="H243">
        <v>2616</v>
      </c>
      <c r="I243">
        <v>2737</v>
      </c>
    </row>
    <row r="244" spans="1:9" x14ac:dyDescent="0.25">
      <c r="A244" t="s">
        <v>18</v>
      </c>
      <c r="B244" t="s">
        <v>472</v>
      </c>
      <c r="C244" t="s">
        <v>53</v>
      </c>
      <c r="D244">
        <v>1</v>
      </c>
      <c r="E244">
        <v>1</v>
      </c>
      <c r="F244">
        <v>2770</v>
      </c>
      <c r="G244" t="s">
        <v>419</v>
      </c>
      <c r="H244">
        <v>50</v>
      </c>
      <c r="I244">
        <v>214</v>
      </c>
    </row>
    <row r="245" spans="1:9" x14ac:dyDescent="0.25">
      <c r="A245" t="s">
        <v>18</v>
      </c>
      <c r="B245" t="s">
        <v>472</v>
      </c>
      <c r="C245" t="s">
        <v>53</v>
      </c>
      <c r="D245">
        <v>1</v>
      </c>
      <c r="E245">
        <v>1</v>
      </c>
      <c r="F245">
        <v>2770</v>
      </c>
      <c r="G245" t="s">
        <v>392</v>
      </c>
      <c r="H245">
        <v>489</v>
      </c>
      <c r="I245">
        <v>593</v>
      </c>
    </row>
    <row r="246" spans="1:9" x14ac:dyDescent="0.25">
      <c r="A246" t="s">
        <v>18</v>
      </c>
      <c r="B246" t="s">
        <v>472</v>
      </c>
      <c r="C246" t="s">
        <v>53</v>
      </c>
      <c r="D246">
        <v>1</v>
      </c>
      <c r="E246">
        <v>1</v>
      </c>
      <c r="F246">
        <v>2770</v>
      </c>
      <c r="G246" t="s">
        <v>392</v>
      </c>
      <c r="H246">
        <v>858</v>
      </c>
      <c r="I246">
        <v>975</v>
      </c>
    </row>
    <row r="247" spans="1:9" x14ac:dyDescent="0.25">
      <c r="A247" t="s">
        <v>18</v>
      </c>
      <c r="B247" t="s">
        <v>472</v>
      </c>
      <c r="C247" t="s">
        <v>53</v>
      </c>
      <c r="D247">
        <v>1</v>
      </c>
      <c r="E247">
        <v>1</v>
      </c>
      <c r="F247">
        <v>2770</v>
      </c>
      <c r="G247" t="s">
        <v>401</v>
      </c>
      <c r="H247">
        <v>1128</v>
      </c>
      <c r="I247">
        <v>1322</v>
      </c>
    </row>
    <row r="248" spans="1:9" x14ac:dyDescent="0.25">
      <c r="A248" t="s">
        <v>18</v>
      </c>
      <c r="B248" t="s">
        <v>472</v>
      </c>
      <c r="C248" t="s">
        <v>53</v>
      </c>
      <c r="D248">
        <v>1</v>
      </c>
      <c r="E248">
        <v>1</v>
      </c>
      <c r="F248">
        <v>2770</v>
      </c>
      <c r="G248" t="s">
        <v>415</v>
      </c>
      <c r="H248">
        <v>2061</v>
      </c>
      <c r="I248">
        <v>2117</v>
      </c>
    </row>
    <row r="249" spans="1:9" x14ac:dyDescent="0.25">
      <c r="A249" t="s">
        <v>18</v>
      </c>
      <c r="B249" t="s">
        <v>473</v>
      </c>
      <c r="C249" t="s">
        <v>61</v>
      </c>
      <c r="D249">
        <v>1</v>
      </c>
      <c r="E249">
        <v>1</v>
      </c>
      <c r="F249">
        <v>4537</v>
      </c>
      <c r="G249" t="s">
        <v>390</v>
      </c>
      <c r="H249">
        <v>3356</v>
      </c>
      <c r="I249">
        <v>3428</v>
      </c>
    </row>
    <row r="250" spans="1:9" x14ac:dyDescent="0.25">
      <c r="A250" t="s">
        <v>18</v>
      </c>
      <c r="B250" t="s">
        <v>473</v>
      </c>
      <c r="C250" t="s">
        <v>61</v>
      </c>
      <c r="D250">
        <v>1</v>
      </c>
      <c r="E250">
        <v>1</v>
      </c>
      <c r="F250">
        <v>4537</v>
      </c>
      <c r="G250" t="s">
        <v>400</v>
      </c>
      <c r="H250">
        <v>4201</v>
      </c>
      <c r="I250">
        <v>4342</v>
      </c>
    </row>
    <row r="251" spans="1:9" x14ac:dyDescent="0.25">
      <c r="A251" t="s">
        <v>18</v>
      </c>
      <c r="B251" t="s">
        <v>473</v>
      </c>
      <c r="C251" t="s">
        <v>61</v>
      </c>
      <c r="D251">
        <v>1</v>
      </c>
      <c r="E251">
        <v>1</v>
      </c>
      <c r="F251">
        <v>4537</v>
      </c>
      <c r="G251" t="s">
        <v>392</v>
      </c>
      <c r="H251">
        <v>3583</v>
      </c>
      <c r="I251">
        <v>3684</v>
      </c>
    </row>
    <row r="252" spans="1:9" x14ac:dyDescent="0.25">
      <c r="A252" t="s">
        <v>18</v>
      </c>
      <c r="B252" t="s">
        <v>473</v>
      </c>
      <c r="C252" t="s">
        <v>61</v>
      </c>
      <c r="D252">
        <v>1</v>
      </c>
      <c r="E252">
        <v>1</v>
      </c>
      <c r="F252">
        <v>4537</v>
      </c>
      <c r="G252" t="s">
        <v>392</v>
      </c>
      <c r="H252">
        <v>3911</v>
      </c>
      <c r="I252">
        <v>4019</v>
      </c>
    </row>
    <row r="253" spans="1:9" x14ac:dyDescent="0.25">
      <c r="A253" t="s">
        <v>18</v>
      </c>
      <c r="B253" t="s">
        <v>473</v>
      </c>
      <c r="C253" t="s">
        <v>61</v>
      </c>
      <c r="D253">
        <v>1</v>
      </c>
      <c r="E253">
        <v>1</v>
      </c>
      <c r="F253">
        <v>4537</v>
      </c>
      <c r="G253" t="s">
        <v>402</v>
      </c>
      <c r="H253">
        <v>183</v>
      </c>
      <c r="I253">
        <v>314</v>
      </c>
    </row>
    <row r="254" spans="1:9" x14ac:dyDescent="0.25">
      <c r="A254" t="s">
        <v>18</v>
      </c>
      <c r="B254" t="s">
        <v>473</v>
      </c>
      <c r="C254" t="s">
        <v>61</v>
      </c>
      <c r="D254">
        <v>1</v>
      </c>
      <c r="E254">
        <v>1</v>
      </c>
      <c r="F254">
        <v>4537</v>
      </c>
      <c r="G254" t="s">
        <v>402</v>
      </c>
      <c r="H254">
        <v>447</v>
      </c>
      <c r="I254">
        <v>707</v>
      </c>
    </row>
    <row r="255" spans="1:9" x14ac:dyDescent="0.25">
      <c r="A255" t="s">
        <v>18</v>
      </c>
      <c r="B255" t="s">
        <v>473</v>
      </c>
      <c r="C255" t="s">
        <v>61</v>
      </c>
      <c r="D255">
        <v>1</v>
      </c>
      <c r="E255">
        <v>1</v>
      </c>
      <c r="F255">
        <v>4537</v>
      </c>
      <c r="G255" t="s">
        <v>402</v>
      </c>
      <c r="H255">
        <v>1390</v>
      </c>
      <c r="I255">
        <v>1567</v>
      </c>
    </row>
    <row r="256" spans="1:9" x14ac:dyDescent="0.25">
      <c r="A256" t="s">
        <v>18</v>
      </c>
      <c r="B256" t="s">
        <v>473</v>
      </c>
      <c r="C256" t="s">
        <v>61</v>
      </c>
      <c r="D256">
        <v>1</v>
      </c>
      <c r="E256">
        <v>1</v>
      </c>
      <c r="F256">
        <v>4537</v>
      </c>
      <c r="G256" t="s">
        <v>402</v>
      </c>
      <c r="H256">
        <v>1806</v>
      </c>
      <c r="I256">
        <v>1938</v>
      </c>
    </row>
    <row r="257" spans="1:9" x14ac:dyDescent="0.25">
      <c r="A257" t="s">
        <v>18</v>
      </c>
      <c r="B257" t="s">
        <v>473</v>
      </c>
      <c r="C257" t="s">
        <v>61</v>
      </c>
      <c r="D257">
        <v>1</v>
      </c>
      <c r="E257">
        <v>1</v>
      </c>
      <c r="F257">
        <v>4537</v>
      </c>
      <c r="G257" t="s">
        <v>402</v>
      </c>
      <c r="H257">
        <v>1958</v>
      </c>
      <c r="I257">
        <v>2198</v>
      </c>
    </row>
    <row r="258" spans="1:9" x14ac:dyDescent="0.25">
      <c r="A258" t="s">
        <v>18</v>
      </c>
      <c r="B258" t="s">
        <v>473</v>
      </c>
      <c r="C258" t="s">
        <v>61</v>
      </c>
      <c r="D258">
        <v>1</v>
      </c>
      <c r="E258">
        <v>1</v>
      </c>
      <c r="F258">
        <v>4537</v>
      </c>
      <c r="G258" t="s">
        <v>402</v>
      </c>
      <c r="H258">
        <v>2598</v>
      </c>
      <c r="I258">
        <v>1864</v>
      </c>
    </row>
    <row r="259" spans="1:9" x14ac:dyDescent="0.25">
      <c r="A259" t="s">
        <v>18</v>
      </c>
      <c r="B259" t="s">
        <v>474</v>
      </c>
      <c r="D259">
        <v>0</v>
      </c>
      <c r="E259">
        <v>0</v>
      </c>
      <c r="F259">
        <v>364</v>
      </c>
      <c r="G259" t="s">
        <v>451</v>
      </c>
      <c r="H259">
        <v>160</v>
      </c>
      <c r="I259">
        <v>334</v>
      </c>
    </row>
    <row r="260" spans="1:9" x14ac:dyDescent="0.25">
      <c r="A260" t="s">
        <v>18</v>
      </c>
      <c r="B260" t="s">
        <v>475</v>
      </c>
      <c r="D260">
        <v>0</v>
      </c>
      <c r="E260">
        <v>0</v>
      </c>
      <c r="F260">
        <v>264</v>
      </c>
      <c r="G260" t="s">
        <v>451</v>
      </c>
      <c r="H260">
        <v>65</v>
      </c>
      <c r="I260">
        <v>243</v>
      </c>
    </row>
    <row r="261" spans="1:9" x14ac:dyDescent="0.25">
      <c r="A261" t="s">
        <v>18</v>
      </c>
      <c r="B261" t="s">
        <v>476</v>
      </c>
      <c r="D261">
        <v>0</v>
      </c>
      <c r="E261">
        <v>0</v>
      </c>
      <c r="F261">
        <v>1657</v>
      </c>
      <c r="G261" t="s">
        <v>451</v>
      </c>
      <c r="H261">
        <v>100</v>
      </c>
      <c r="I261">
        <v>181</v>
      </c>
    </row>
    <row r="262" spans="1:9" x14ac:dyDescent="0.25">
      <c r="A262" t="s">
        <v>18</v>
      </c>
      <c r="B262" t="s">
        <v>476</v>
      </c>
      <c r="D262">
        <v>0</v>
      </c>
      <c r="E262">
        <v>0</v>
      </c>
      <c r="F262">
        <v>1657</v>
      </c>
      <c r="G262" t="s">
        <v>402</v>
      </c>
      <c r="H262">
        <v>856</v>
      </c>
      <c r="I262">
        <v>1657</v>
      </c>
    </row>
    <row r="263" spans="1:9" x14ac:dyDescent="0.25">
      <c r="A263" t="s">
        <v>18</v>
      </c>
      <c r="B263" t="s">
        <v>476</v>
      </c>
      <c r="D263">
        <v>0</v>
      </c>
      <c r="E263">
        <v>0</v>
      </c>
      <c r="F263">
        <v>1657</v>
      </c>
      <c r="G263" t="s">
        <v>402</v>
      </c>
      <c r="H263">
        <v>257</v>
      </c>
      <c r="I263">
        <v>384</v>
      </c>
    </row>
    <row r="264" spans="1:9" x14ac:dyDescent="0.25">
      <c r="A264" t="s">
        <v>18</v>
      </c>
      <c r="B264" t="s">
        <v>477</v>
      </c>
      <c r="D264">
        <v>0</v>
      </c>
      <c r="E264">
        <v>0</v>
      </c>
      <c r="F264">
        <v>233</v>
      </c>
      <c r="G264" t="s">
        <v>402</v>
      </c>
      <c r="H264">
        <v>38</v>
      </c>
      <c r="I264">
        <v>200</v>
      </c>
    </row>
    <row r="265" spans="1:9" x14ac:dyDescent="0.25">
      <c r="A265" t="s">
        <v>18</v>
      </c>
      <c r="B265" t="s">
        <v>478</v>
      </c>
      <c r="D265">
        <v>0</v>
      </c>
      <c r="E265">
        <v>0</v>
      </c>
      <c r="F265">
        <v>960</v>
      </c>
      <c r="G265" t="s">
        <v>419</v>
      </c>
      <c r="H265">
        <v>80</v>
      </c>
      <c r="I265">
        <v>245</v>
      </c>
    </row>
    <row r="266" spans="1:9" x14ac:dyDescent="0.25">
      <c r="A266" t="s">
        <v>18</v>
      </c>
      <c r="B266" t="s">
        <v>478</v>
      </c>
      <c r="D266">
        <v>0</v>
      </c>
      <c r="E266">
        <v>0</v>
      </c>
      <c r="F266">
        <v>960</v>
      </c>
      <c r="G266" t="s">
        <v>402</v>
      </c>
      <c r="H266">
        <v>368</v>
      </c>
      <c r="I266">
        <v>675</v>
      </c>
    </row>
    <row r="267" spans="1:9" x14ac:dyDescent="0.25">
      <c r="A267" t="s">
        <v>18</v>
      </c>
      <c r="B267" t="s">
        <v>479</v>
      </c>
      <c r="C267" t="s">
        <v>131</v>
      </c>
      <c r="D267">
        <v>1</v>
      </c>
      <c r="E267">
        <v>1</v>
      </c>
      <c r="F267">
        <v>1005</v>
      </c>
      <c r="G267" t="s">
        <v>390</v>
      </c>
      <c r="H267">
        <v>236</v>
      </c>
      <c r="I267">
        <v>331</v>
      </c>
    </row>
    <row r="268" spans="1:9" x14ac:dyDescent="0.25">
      <c r="A268" t="s">
        <v>18</v>
      </c>
      <c r="B268" t="s">
        <v>479</v>
      </c>
      <c r="C268" t="s">
        <v>131</v>
      </c>
      <c r="D268">
        <v>1</v>
      </c>
      <c r="E268">
        <v>1</v>
      </c>
      <c r="F268">
        <v>1005</v>
      </c>
      <c r="G268" t="s">
        <v>419</v>
      </c>
      <c r="H268">
        <v>15</v>
      </c>
      <c r="I268">
        <v>183</v>
      </c>
    </row>
    <row r="269" spans="1:9" x14ac:dyDescent="0.25">
      <c r="A269" t="s">
        <v>18</v>
      </c>
      <c r="B269" t="s">
        <v>479</v>
      </c>
      <c r="C269" t="s">
        <v>131</v>
      </c>
      <c r="D269">
        <v>1</v>
      </c>
      <c r="E269">
        <v>1</v>
      </c>
      <c r="F269">
        <v>1005</v>
      </c>
      <c r="G269" t="s">
        <v>392</v>
      </c>
      <c r="H269">
        <v>487</v>
      </c>
      <c r="I269">
        <v>591</v>
      </c>
    </row>
    <row r="270" spans="1:9" x14ac:dyDescent="0.25">
      <c r="A270" t="s">
        <v>18</v>
      </c>
      <c r="B270" t="s">
        <v>479</v>
      </c>
      <c r="C270" t="s">
        <v>131</v>
      </c>
      <c r="D270">
        <v>1</v>
      </c>
      <c r="E270">
        <v>1</v>
      </c>
      <c r="F270">
        <v>1005</v>
      </c>
      <c r="G270" t="s">
        <v>392</v>
      </c>
      <c r="H270">
        <v>800</v>
      </c>
      <c r="I270">
        <v>908</v>
      </c>
    </row>
    <row r="271" spans="1:9" x14ac:dyDescent="0.25">
      <c r="A271" t="s">
        <v>18</v>
      </c>
      <c r="B271" t="s">
        <v>480</v>
      </c>
      <c r="D271">
        <v>0</v>
      </c>
      <c r="E271">
        <v>0</v>
      </c>
      <c r="F271">
        <v>340</v>
      </c>
      <c r="G271" t="s">
        <v>419</v>
      </c>
      <c r="H271">
        <v>61</v>
      </c>
      <c r="I271">
        <v>237</v>
      </c>
    </row>
    <row r="272" spans="1:9" x14ac:dyDescent="0.25">
      <c r="A272" t="s">
        <v>18</v>
      </c>
      <c r="B272" t="s">
        <v>481</v>
      </c>
      <c r="D272">
        <v>0</v>
      </c>
      <c r="E272">
        <v>0</v>
      </c>
      <c r="F272">
        <v>958</v>
      </c>
      <c r="G272" t="s">
        <v>419</v>
      </c>
      <c r="H272">
        <v>138</v>
      </c>
      <c r="I272">
        <v>253</v>
      </c>
    </row>
    <row r="273" spans="1:9" x14ac:dyDescent="0.25">
      <c r="A273" t="s">
        <v>18</v>
      </c>
      <c r="B273" t="s">
        <v>481</v>
      </c>
      <c r="D273">
        <v>0</v>
      </c>
      <c r="E273">
        <v>0</v>
      </c>
      <c r="F273">
        <v>958</v>
      </c>
      <c r="G273" t="s">
        <v>451</v>
      </c>
      <c r="H273">
        <v>275</v>
      </c>
      <c r="I273">
        <v>296</v>
      </c>
    </row>
    <row r="274" spans="1:9" x14ac:dyDescent="0.25">
      <c r="A274" t="s">
        <v>18</v>
      </c>
      <c r="B274" t="s">
        <v>481</v>
      </c>
      <c r="D274">
        <v>0</v>
      </c>
      <c r="E274">
        <v>0</v>
      </c>
      <c r="F274">
        <v>958</v>
      </c>
      <c r="G274" t="s">
        <v>402</v>
      </c>
      <c r="H274">
        <v>252</v>
      </c>
      <c r="I274">
        <v>929</v>
      </c>
    </row>
    <row r="275" spans="1:9" x14ac:dyDescent="0.25">
      <c r="A275" t="s">
        <v>18</v>
      </c>
      <c r="B275" t="s">
        <v>482</v>
      </c>
      <c r="D275">
        <v>1</v>
      </c>
      <c r="E275">
        <v>0</v>
      </c>
      <c r="F275">
        <v>1174</v>
      </c>
      <c r="G275" t="s">
        <v>390</v>
      </c>
      <c r="H275">
        <v>7</v>
      </c>
      <c r="I275">
        <v>151</v>
      </c>
    </row>
    <row r="276" spans="1:9" x14ac:dyDescent="0.25">
      <c r="A276" t="s">
        <v>18</v>
      </c>
      <c r="B276" t="s">
        <v>482</v>
      </c>
      <c r="D276">
        <v>1</v>
      </c>
      <c r="E276">
        <v>0</v>
      </c>
      <c r="F276">
        <v>1174</v>
      </c>
      <c r="G276" t="s">
        <v>392</v>
      </c>
      <c r="H276">
        <v>280</v>
      </c>
      <c r="I276">
        <v>383</v>
      </c>
    </row>
    <row r="277" spans="1:9" x14ac:dyDescent="0.25">
      <c r="A277" t="s">
        <v>18</v>
      </c>
      <c r="B277" t="s">
        <v>482</v>
      </c>
      <c r="D277">
        <v>1</v>
      </c>
      <c r="E277">
        <v>0</v>
      </c>
      <c r="F277">
        <v>1174</v>
      </c>
      <c r="G277" t="s">
        <v>392</v>
      </c>
      <c r="H277">
        <v>609</v>
      </c>
      <c r="I277">
        <v>734</v>
      </c>
    </row>
    <row r="278" spans="1:9" x14ac:dyDescent="0.25">
      <c r="A278" t="s">
        <v>18</v>
      </c>
      <c r="B278" t="s">
        <v>482</v>
      </c>
      <c r="D278">
        <v>1</v>
      </c>
      <c r="E278">
        <v>0</v>
      </c>
      <c r="F278">
        <v>1174</v>
      </c>
      <c r="G278" t="s">
        <v>451</v>
      </c>
      <c r="H278">
        <v>950</v>
      </c>
      <c r="I278">
        <v>1044</v>
      </c>
    </row>
    <row r="279" spans="1:9" x14ac:dyDescent="0.25">
      <c r="A279" t="s">
        <v>18</v>
      </c>
      <c r="B279" t="s">
        <v>482</v>
      </c>
      <c r="D279">
        <v>1</v>
      </c>
      <c r="E279">
        <v>0</v>
      </c>
      <c r="F279">
        <v>1174</v>
      </c>
      <c r="G279" t="s">
        <v>402</v>
      </c>
      <c r="H279">
        <v>951</v>
      </c>
      <c r="I279">
        <v>1036</v>
      </c>
    </row>
    <row r="280" spans="1:9" x14ac:dyDescent="0.25">
      <c r="A280" t="s">
        <v>18</v>
      </c>
      <c r="B280" t="s">
        <v>483</v>
      </c>
      <c r="D280">
        <v>0</v>
      </c>
      <c r="E280">
        <v>0</v>
      </c>
      <c r="F280">
        <v>1721</v>
      </c>
      <c r="G280" t="s">
        <v>419</v>
      </c>
      <c r="H280">
        <v>47</v>
      </c>
      <c r="I280">
        <v>231</v>
      </c>
    </row>
    <row r="281" spans="1:9" x14ac:dyDescent="0.25">
      <c r="A281" t="s">
        <v>18</v>
      </c>
      <c r="B281" t="s">
        <v>483</v>
      </c>
      <c r="D281">
        <v>0</v>
      </c>
      <c r="E281">
        <v>0</v>
      </c>
      <c r="F281">
        <v>1721</v>
      </c>
      <c r="G281" t="s">
        <v>402</v>
      </c>
      <c r="H281">
        <v>346</v>
      </c>
      <c r="I281">
        <v>593</v>
      </c>
    </row>
    <row r="282" spans="1:9" x14ac:dyDescent="0.25">
      <c r="A282" t="s">
        <v>18</v>
      </c>
      <c r="B282" t="s">
        <v>483</v>
      </c>
      <c r="D282">
        <v>0</v>
      </c>
      <c r="E282">
        <v>0</v>
      </c>
      <c r="F282">
        <v>1721</v>
      </c>
      <c r="G282" t="s">
        <v>402</v>
      </c>
      <c r="H282">
        <v>953</v>
      </c>
      <c r="I282">
        <v>1298</v>
      </c>
    </row>
    <row r="283" spans="1:9" x14ac:dyDescent="0.25">
      <c r="A283" t="s">
        <v>18</v>
      </c>
      <c r="B283" t="s">
        <v>484</v>
      </c>
      <c r="D283">
        <v>0</v>
      </c>
      <c r="E283">
        <v>0</v>
      </c>
      <c r="F283">
        <v>1738</v>
      </c>
      <c r="G283" t="s">
        <v>419</v>
      </c>
      <c r="H283">
        <v>41</v>
      </c>
      <c r="I283">
        <v>223</v>
      </c>
    </row>
    <row r="284" spans="1:9" x14ac:dyDescent="0.25">
      <c r="A284" t="s">
        <v>18</v>
      </c>
      <c r="B284" t="s">
        <v>484</v>
      </c>
      <c r="D284">
        <v>0</v>
      </c>
      <c r="E284">
        <v>0</v>
      </c>
      <c r="F284">
        <v>1738</v>
      </c>
      <c r="G284" t="s">
        <v>402</v>
      </c>
      <c r="H284">
        <v>349</v>
      </c>
      <c r="I284">
        <v>601</v>
      </c>
    </row>
    <row r="285" spans="1:9" x14ac:dyDescent="0.25">
      <c r="A285" t="s">
        <v>18</v>
      </c>
      <c r="B285" t="s">
        <v>484</v>
      </c>
      <c r="D285">
        <v>0</v>
      </c>
      <c r="E285">
        <v>0</v>
      </c>
      <c r="F285">
        <v>1738</v>
      </c>
      <c r="G285" t="s">
        <v>402</v>
      </c>
      <c r="H285">
        <v>987</v>
      </c>
      <c r="I285">
        <v>1551</v>
      </c>
    </row>
    <row r="286" spans="1:9" x14ac:dyDescent="0.25">
      <c r="A286" t="s">
        <v>18</v>
      </c>
      <c r="B286" t="s">
        <v>485</v>
      </c>
      <c r="D286">
        <v>0</v>
      </c>
      <c r="E286">
        <v>0</v>
      </c>
      <c r="F286">
        <v>1823</v>
      </c>
      <c r="G286" t="s">
        <v>419</v>
      </c>
      <c r="H286">
        <v>41</v>
      </c>
      <c r="I286">
        <v>225</v>
      </c>
    </row>
    <row r="287" spans="1:9" x14ac:dyDescent="0.25">
      <c r="A287" t="s">
        <v>18</v>
      </c>
      <c r="B287" t="s">
        <v>486</v>
      </c>
      <c r="D287">
        <v>0</v>
      </c>
      <c r="E287">
        <v>0</v>
      </c>
      <c r="F287">
        <v>1710</v>
      </c>
      <c r="G287" t="s">
        <v>419</v>
      </c>
      <c r="H287">
        <v>41</v>
      </c>
      <c r="I287">
        <v>223</v>
      </c>
    </row>
    <row r="288" spans="1:9" x14ac:dyDescent="0.25">
      <c r="A288" t="s">
        <v>18</v>
      </c>
      <c r="B288" t="s">
        <v>486</v>
      </c>
      <c r="D288">
        <v>0</v>
      </c>
      <c r="E288">
        <v>0</v>
      </c>
      <c r="F288">
        <v>1710</v>
      </c>
      <c r="G288" t="s">
        <v>402</v>
      </c>
      <c r="H288">
        <v>364</v>
      </c>
      <c r="I288">
        <v>593</v>
      </c>
    </row>
    <row r="289" spans="1:9" x14ac:dyDescent="0.25">
      <c r="A289" t="s">
        <v>18</v>
      </c>
      <c r="B289" t="s">
        <v>486</v>
      </c>
      <c r="D289">
        <v>0</v>
      </c>
      <c r="E289">
        <v>0</v>
      </c>
      <c r="F289">
        <v>1710</v>
      </c>
      <c r="G289" t="s">
        <v>402</v>
      </c>
      <c r="H289">
        <v>958</v>
      </c>
      <c r="I289">
        <v>1284</v>
      </c>
    </row>
    <row r="290" spans="1:9" x14ac:dyDescent="0.25">
      <c r="A290" t="s">
        <v>18</v>
      </c>
      <c r="B290" t="s">
        <v>487</v>
      </c>
      <c r="D290">
        <v>0</v>
      </c>
      <c r="E290">
        <v>0</v>
      </c>
      <c r="F290">
        <v>1848</v>
      </c>
      <c r="G290" t="s">
        <v>398</v>
      </c>
      <c r="H290">
        <v>114</v>
      </c>
      <c r="I290">
        <v>387</v>
      </c>
    </row>
    <row r="291" spans="1:9" x14ac:dyDescent="0.25">
      <c r="A291" t="s">
        <v>18</v>
      </c>
      <c r="B291" t="s">
        <v>487</v>
      </c>
      <c r="D291">
        <v>0</v>
      </c>
      <c r="E291">
        <v>0</v>
      </c>
      <c r="F291">
        <v>1848</v>
      </c>
      <c r="G291" t="s">
        <v>401</v>
      </c>
      <c r="H291">
        <v>1780</v>
      </c>
      <c r="I291">
        <v>1830</v>
      </c>
    </row>
    <row r="292" spans="1:9" x14ac:dyDescent="0.25">
      <c r="A292" t="s">
        <v>18</v>
      </c>
      <c r="B292" t="s">
        <v>487</v>
      </c>
      <c r="D292">
        <v>0</v>
      </c>
      <c r="E292">
        <v>0</v>
      </c>
      <c r="F292">
        <v>1848</v>
      </c>
      <c r="G292" t="s">
        <v>402</v>
      </c>
      <c r="H292">
        <v>927</v>
      </c>
      <c r="I292">
        <v>1617</v>
      </c>
    </row>
    <row r="293" spans="1:9" x14ac:dyDescent="0.25">
      <c r="A293" t="s">
        <v>18</v>
      </c>
      <c r="B293" t="s">
        <v>487</v>
      </c>
      <c r="D293">
        <v>0</v>
      </c>
      <c r="E293">
        <v>0</v>
      </c>
      <c r="F293">
        <v>1848</v>
      </c>
      <c r="G293" t="s">
        <v>402</v>
      </c>
      <c r="H293">
        <v>437</v>
      </c>
      <c r="I293">
        <v>560</v>
      </c>
    </row>
    <row r="294" spans="1:9" x14ac:dyDescent="0.25">
      <c r="A294" t="s">
        <v>18</v>
      </c>
      <c r="B294" t="s">
        <v>488</v>
      </c>
      <c r="D294">
        <v>0</v>
      </c>
      <c r="E294">
        <v>0</v>
      </c>
      <c r="F294">
        <v>514</v>
      </c>
      <c r="G294" t="s">
        <v>419</v>
      </c>
      <c r="H294">
        <v>59</v>
      </c>
      <c r="I294">
        <v>190</v>
      </c>
    </row>
    <row r="295" spans="1:9" x14ac:dyDescent="0.25">
      <c r="A295" t="s">
        <v>18</v>
      </c>
      <c r="B295" t="s">
        <v>488</v>
      </c>
      <c r="D295">
        <v>0</v>
      </c>
      <c r="E295">
        <v>0</v>
      </c>
      <c r="F295">
        <v>514</v>
      </c>
      <c r="G295" t="s">
        <v>402</v>
      </c>
      <c r="H295">
        <v>342</v>
      </c>
      <c r="I295">
        <v>467</v>
      </c>
    </row>
    <row r="296" spans="1:9" x14ac:dyDescent="0.25">
      <c r="A296" t="s">
        <v>18</v>
      </c>
      <c r="B296" t="s">
        <v>489</v>
      </c>
      <c r="D296">
        <v>0</v>
      </c>
      <c r="E296">
        <v>0</v>
      </c>
      <c r="F296">
        <v>172</v>
      </c>
      <c r="G296" t="s">
        <v>419</v>
      </c>
      <c r="H296">
        <v>6</v>
      </c>
      <c r="I296">
        <v>172</v>
      </c>
    </row>
    <row r="297" spans="1:9" x14ac:dyDescent="0.25">
      <c r="A297" t="s">
        <v>18</v>
      </c>
      <c r="B297" t="s">
        <v>490</v>
      </c>
      <c r="D297">
        <v>0</v>
      </c>
      <c r="E297">
        <v>0</v>
      </c>
      <c r="F297">
        <v>233</v>
      </c>
      <c r="G297" t="s">
        <v>419</v>
      </c>
      <c r="H297">
        <v>7</v>
      </c>
      <c r="I297">
        <v>232</v>
      </c>
    </row>
    <row r="298" spans="1:9" x14ac:dyDescent="0.25">
      <c r="A298" t="s">
        <v>18</v>
      </c>
      <c r="B298" t="s">
        <v>491</v>
      </c>
      <c r="D298">
        <v>0</v>
      </c>
      <c r="E298">
        <v>0</v>
      </c>
      <c r="F298">
        <v>361</v>
      </c>
      <c r="G298" t="s">
        <v>451</v>
      </c>
      <c r="H298">
        <v>121</v>
      </c>
      <c r="I298">
        <v>324</v>
      </c>
    </row>
    <row r="299" spans="1:9" x14ac:dyDescent="0.25">
      <c r="A299" t="s">
        <v>18</v>
      </c>
      <c r="B299" t="s">
        <v>491</v>
      </c>
      <c r="D299">
        <v>0</v>
      </c>
      <c r="E299">
        <v>0</v>
      </c>
      <c r="F299">
        <v>361</v>
      </c>
      <c r="G299" t="s">
        <v>402</v>
      </c>
      <c r="H299">
        <v>25</v>
      </c>
      <c r="I299">
        <v>95</v>
      </c>
    </row>
    <row r="300" spans="1:9" x14ac:dyDescent="0.25">
      <c r="A300" t="s">
        <v>18</v>
      </c>
      <c r="B300" t="s">
        <v>492</v>
      </c>
      <c r="D300">
        <v>0</v>
      </c>
      <c r="E300">
        <v>0</v>
      </c>
      <c r="F300">
        <v>1878</v>
      </c>
      <c r="G300" t="s">
        <v>419</v>
      </c>
      <c r="H300">
        <v>47</v>
      </c>
      <c r="I300">
        <v>229</v>
      </c>
    </row>
    <row r="301" spans="1:9" x14ac:dyDescent="0.25">
      <c r="A301" t="s">
        <v>18</v>
      </c>
      <c r="B301" t="s">
        <v>492</v>
      </c>
      <c r="D301">
        <v>0</v>
      </c>
      <c r="E301">
        <v>0</v>
      </c>
      <c r="F301">
        <v>1878</v>
      </c>
      <c r="G301" t="s">
        <v>402</v>
      </c>
      <c r="H301">
        <v>355</v>
      </c>
      <c r="I301">
        <v>601</v>
      </c>
    </row>
    <row r="302" spans="1:9" x14ac:dyDescent="0.25">
      <c r="A302" t="s">
        <v>18</v>
      </c>
      <c r="B302" t="s">
        <v>492</v>
      </c>
      <c r="D302">
        <v>0</v>
      </c>
      <c r="E302">
        <v>0</v>
      </c>
      <c r="F302">
        <v>1878</v>
      </c>
      <c r="G302" t="s">
        <v>402</v>
      </c>
      <c r="H302">
        <v>1071</v>
      </c>
      <c r="I302">
        <v>1688</v>
      </c>
    </row>
    <row r="303" spans="1:9" x14ac:dyDescent="0.25">
      <c r="A303" t="s">
        <v>18</v>
      </c>
      <c r="B303" t="s">
        <v>493</v>
      </c>
      <c r="D303">
        <v>0</v>
      </c>
      <c r="E303">
        <v>0</v>
      </c>
      <c r="F303">
        <v>375</v>
      </c>
      <c r="G303" t="s">
        <v>451</v>
      </c>
      <c r="H303">
        <v>109</v>
      </c>
      <c r="I303">
        <v>339</v>
      </c>
    </row>
    <row r="304" spans="1:9" x14ac:dyDescent="0.25">
      <c r="A304" t="s">
        <v>18</v>
      </c>
      <c r="B304" t="s">
        <v>494</v>
      </c>
      <c r="D304">
        <v>0</v>
      </c>
      <c r="E304">
        <v>0</v>
      </c>
      <c r="F304">
        <v>1533</v>
      </c>
      <c r="G304" t="s">
        <v>451</v>
      </c>
      <c r="H304">
        <v>58</v>
      </c>
      <c r="I304">
        <v>147</v>
      </c>
    </row>
    <row r="305" spans="1:9" x14ac:dyDescent="0.25">
      <c r="A305" t="s">
        <v>18</v>
      </c>
      <c r="B305" t="s">
        <v>494</v>
      </c>
      <c r="D305">
        <v>0</v>
      </c>
      <c r="E305">
        <v>0</v>
      </c>
      <c r="F305">
        <v>1533</v>
      </c>
      <c r="G305" t="s">
        <v>402</v>
      </c>
      <c r="H305">
        <v>111</v>
      </c>
      <c r="I305">
        <v>188</v>
      </c>
    </row>
    <row r="306" spans="1:9" x14ac:dyDescent="0.25">
      <c r="A306" t="s">
        <v>18</v>
      </c>
      <c r="B306" t="s">
        <v>494</v>
      </c>
      <c r="D306">
        <v>0</v>
      </c>
      <c r="E306">
        <v>0</v>
      </c>
      <c r="F306">
        <v>1533</v>
      </c>
      <c r="G306" t="s">
        <v>402</v>
      </c>
      <c r="H306">
        <v>242</v>
      </c>
      <c r="I306">
        <v>369</v>
      </c>
    </row>
    <row r="307" spans="1:9" x14ac:dyDescent="0.25">
      <c r="A307" t="s">
        <v>18</v>
      </c>
      <c r="B307" t="s">
        <v>494</v>
      </c>
      <c r="D307">
        <v>0</v>
      </c>
      <c r="E307">
        <v>0</v>
      </c>
      <c r="F307">
        <v>1533</v>
      </c>
      <c r="G307" t="s">
        <v>402</v>
      </c>
      <c r="H307">
        <v>838</v>
      </c>
      <c r="I307">
        <v>1532</v>
      </c>
    </row>
    <row r="308" spans="1:9" x14ac:dyDescent="0.25">
      <c r="A308" t="s">
        <v>18</v>
      </c>
      <c r="B308" t="s">
        <v>495</v>
      </c>
      <c r="D308">
        <v>0</v>
      </c>
      <c r="E308">
        <v>0</v>
      </c>
      <c r="F308">
        <v>1437</v>
      </c>
      <c r="G308" t="s">
        <v>398</v>
      </c>
      <c r="H308">
        <v>111</v>
      </c>
      <c r="I308">
        <v>188</v>
      </c>
    </row>
    <row r="309" spans="1:9" x14ac:dyDescent="0.25">
      <c r="A309" t="s">
        <v>18</v>
      </c>
      <c r="B309" t="s">
        <v>495</v>
      </c>
      <c r="D309">
        <v>0</v>
      </c>
      <c r="E309">
        <v>0</v>
      </c>
      <c r="F309">
        <v>1437</v>
      </c>
      <c r="G309" t="s">
        <v>451</v>
      </c>
      <c r="H309">
        <v>61</v>
      </c>
      <c r="I309">
        <v>142</v>
      </c>
    </row>
    <row r="310" spans="1:9" x14ac:dyDescent="0.25">
      <c r="A310" t="s">
        <v>18</v>
      </c>
      <c r="B310" t="s">
        <v>495</v>
      </c>
      <c r="D310">
        <v>0</v>
      </c>
      <c r="E310">
        <v>0</v>
      </c>
      <c r="F310">
        <v>1437</v>
      </c>
      <c r="G310" t="s">
        <v>402</v>
      </c>
      <c r="H310">
        <v>845</v>
      </c>
      <c r="I310">
        <v>1437</v>
      </c>
    </row>
    <row r="311" spans="1:9" x14ac:dyDescent="0.25">
      <c r="A311" t="s">
        <v>18</v>
      </c>
      <c r="B311" t="s">
        <v>495</v>
      </c>
      <c r="D311">
        <v>0</v>
      </c>
      <c r="E311">
        <v>0</v>
      </c>
      <c r="F311">
        <v>1437</v>
      </c>
      <c r="G311" t="s">
        <v>402</v>
      </c>
      <c r="H311">
        <v>242</v>
      </c>
      <c r="I311">
        <v>369</v>
      </c>
    </row>
    <row r="312" spans="1:9" x14ac:dyDescent="0.25">
      <c r="A312" t="s">
        <v>311</v>
      </c>
      <c r="B312" t="s">
        <v>496</v>
      </c>
      <c r="D312">
        <v>1</v>
      </c>
      <c r="E312">
        <v>1</v>
      </c>
      <c r="F312">
        <v>2600</v>
      </c>
      <c r="G312" t="s">
        <v>390</v>
      </c>
      <c r="H312">
        <v>43</v>
      </c>
      <c r="I312">
        <v>174</v>
      </c>
    </row>
    <row r="313" spans="1:9" x14ac:dyDescent="0.25">
      <c r="A313" t="s">
        <v>311</v>
      </c>
      <c r="B313" t="s">
        <v>496</v>
      </c>
      <c r="D313">
        <v>1</v>
      </c>
      <c r="E313">
        <v>1</v>
      </c>
      <c r="F313">
        <v>2600</v>
      </c>
      <c r="G313" t="s">
        <v>398</v>
      </c>
      <c r="H313">
        <v>2421</v>
      </c>
      <c r="I313">
        <v>2513</v>
      </c>
    </row>
    <row r="314" spans="1:9" x14ac:dyDescent="0.25">
      <c r="A314" t="s">
        <v>311</v>
      </c>
      <c r="B314" t="s">
        <v>496</v>
      </c>
      <c r="D314">
        <v>1</v>
      </c>
      <c r="E314">
        <v>1</v>
      </c>
      <c r="F314">
        <v>2600</v>
      </c>
      <c r="G314" t="s">
        <v>392</v>
      </c>
      <c r="H314">
        <v>259</v>
      </c>
      <c r="I314">
        <v>363</v>
      </c>
    </row>
    <row r="315" spans="1:9" x14ac:dyDescent="0.25">
      <c r="A315" t="s">
        <v>311</v>
      </c>
      <c r="B315" t="s">
        <v>496</v>
      </c>
      <c r="D315">
        <v>1</v>
      </c>
      <c r="E315">
        <v>1</v>
      </c>
      <c r="F315">
        <v>2600</v>
      </c>
      <c r="G315" t="s">
        <v>392</v>
      </c>
      <c r="H315">
        <v>713</v>
      </c>
      <c r="I315">
        <v>822</v>
      </c>
    </row>
    <row r="316" spans="1:9" x14ac:dyDescent="0.25">
      <c r="A316" t="s">
        <v>311</v>
      </c>
      <c r="B316" t="s">
        <v>497</v>
      </c>
      <c r="D316">
        <v>1</v>
      </c>
      <c r="E316">
        <v>1</v>
      </c>
      <c r="F316">
        <v>2658</v>
      </c>
      <c r="G316" t="s">
        <v>390</v>
      </c>
      <c r="H316">
        <v>45</v>
      </c>
      <c r="I316">
        <v>216</v>
      </c>
    </row>
    <row r="317" spans="1:9" x14ac:dyDescent="0.25">
      <c r="A317" t="s">
        <v>311</v>
      </c>
      <c r="B317" t="s">
        <v>497</v>
      </c>
      <c r="D317">
        <v>1</v>
      </c>
      <c r="E317">
        <v>1</v>
      </c>
      <c r="F317">
        <v>2658</v>
      </c>
      <c r="G317" t="s">
        <v>398</v>
      </c>
      <c r="H317">
        <v>2479</v>
      </c>
      <c r="I317">
        <v>2571</v>
      </c>
    </row>
    <row r="318" spans="1:9" x14ac:dyDescent="0.25">
      <c r="A318" t="s">
        <v>311</v>
      </c>
      <c r="B318" t="s">
        <v>497</v>
      </c>
      <c r="D318">
        <v>1</v>
      </c>
      <c r="E318">
        <v>1</v>
      </c>
      <c r="F318">
        <v>2658</v>
      </c>
      <c r="G318" t="s">
        <v>392</v>
      </c>
      <c r="H318">
        <v>258</v>
      </c>
      <c r="I318">
        <v>363</v>
      </c>
    </row>
    <row r="319" spans="1:9" x14ac:dyDescent="0.25">
      <c r="A319" t="s">
        <v>311</v>
      </c>
      <c r="B319" t="s">
        <v>497</v>
      </c>
      <c r="D319">
        <v>1</v>
      </c>
      <c r="E319">
        <v>1</v>
      </c>
      <c r="F319">
        <v>2658</v>
      </c>
      <c r="G319" t="s">
        <v>392</v>
      </c>
      <c r="H319">
        <v>712</v>
      </c>
      <c r="I319">
        <v>823</v>
      </c>
    </row>
    <row r="320" spans="1:9" x14ac:dyDescent="0.25">
      <c r="A320" t="s">
        <v>311</v>
      </c>
      <c r="B320" t="s">
        <v>498</v>
      </c>
      <c r="D320">
        <v>1</v>
      </c>
      <c r="E320">
        <v>1</v>
      </c>
      <c r="F320">
        <v>842</v>
      </c>
      <c r="G320" t="s">
        <v>390</v>
      </c>
      <c r="H320">
        <v>12</v>
      </c>
      <c r="I320">
        <v>145</v>
      </c>
    </row>
    <row r="321" spans="1:9" x14ac:dyDescent="0.25">
      <c r="A321" t="s">
        <v>311</v>
      </c>
      <c r="B321" t="s">
        <v>498</v>
      </c>
      <c r="D321">
        <v>1</v>
      </c>
      <c r="E321">
        <v>1</v>
      </c>
      <c r="F321">
        <v>842</v>
      </c>
      <c r="G321" t="s">
        <v>392</v>
      </c>
      <c r="H321">
        <v>251</v>
      </c>
      <c r="I321">
        <v>364</v>
      </c>
    </row>
    <row r="322" spans="1:9" x14ac:dyDescent="0.25">
      <c r="A322" t="s">
        <v>311</v>
      </c>
      <c r="B322" t="s">
        <v>498</v>
      </c>
      <c r="D322">
        <v>1</v>
      </c>
      <c r="E322">
        <v>1</v>
      </c>
      <c r="F322">
        <v>842</v>
      </c>
      <c r="G322" t="s">
        <v>392</v>
      </c>
      <c r="H322">
        <v>657</v>
      </c>
      <c r="I322">
        <v>768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4859-4061-4665-BCBC-9769541EC3E3}">
  <dimension ref="A1:B113"/>
  <sheetViews>
    <sheetView workbookViewId="0">
      <selection activeCell="D32" sqref="D32"/>
    </sheetView>
  </sheetViews>
  <sheetFormatPr baseColWidth="10" defaultRowHeight="15" x14ac:dyDescent="0.25"/>
  <cols>
    <col min="1" max="1" width="9.140625" bestFit="1" customWidth="1"/>
    <col min="2" max="2" width="16.140625" bestFit="1" customWidth="1"/>
  </cols>
  <sheetData>
    <row r="1" spans="1:2" x14ac:dyDescent="0.25">
      <c r="A1" t="s">
        <v>499</v>
      </c>
    </row>
    <row r="2" spans="1:2" x14ac:dyDescent="0.25">
      <c r="A2" s="32" t="s">
        <v>500</v>
      </c>
      <c r="B2" t="str">
        <f>""""&amp;A2&amp;""","</f>
        <v>"wVitA_00132",</v>
      </c>
    </row>
    <row r="3" spans="1:2" x14ac:dyDescent="0.25">
      <c r="A3" s="32" t="s">
        <v>501</v>
      </c>
      <c r="B3" s="32" t="str">
        <f t="shared" ref="B3:B66" si="0">""""&amp;A3&amp;""","</f>
        <v>"wPipPel_00311",</v>
      </c>
    </row>
    <row r="4" spans="1:2" x14ac:dyDescent="0.25">
      <c r="A4" s="32" t="s">
        <v>502</v>
      </c>
      <c r="B4" s="32" t="str">
        <f t="shared" si="0"/>
        <v>"wMel_00659",</v>
      </c>
    </row>
    <row r="5" spans="1:2" x14ac:dyDescent="0.25">
      <c r="A5" s="32" t="s">
        <v>506</v>
      </c>
      <c r="B5" s="32" t="str">
        <f t="shared" si="0"/>
        <v>"wSpc_00153",</v>
      </c>
    </row>
    <row r="6" spans="1:2" x14ac:dyDescent="0.25">
      <c r="A6" s="32" t="s">
        <v>504</v>
      </c>
      <c r="B6" s="32" t="str">
        <f t="shared" si="0"/>
        <v>"wRi_01119_1120",</v>
      </c>
    </row>
    <row r="7" spans="1:2" x14ac:dyDescent="0.25">
      <c r="A7" s="32" t="s">
        <v>503</v>
      </c>
      <c r="B7" s="32" t="str">
        <f t="shared" si="0"/>
        <v>"wRi_00593_594",</v>
      </c>
    </row>
    <row r="8" spans="1:2" x14ac:dyDescent="0.25">
      <c r="A8" s="135" t="s">
        <v>591</v>
      </c>
      <c r="B8" s="32" t="str">
        <f t="shared" si="0"/>
        <v>"NW_025319040.1_Drosophila_ananassae",</v>
      </c>
    </row>
    <row r="9" spans="1:2" x14ac:dyDescent="0.25">
      <c r="A9" s="135" t="s">
        <v>505</v>
      </c>
      <c r="B9" s="32" t="str">
        <f t="shared" si="0"/>
        <v>"NW_025319039.1_Drosophila_ananassae",</v>
      </c>
    </row>
    <row r="10" spans="1:2" x14ac:dyDescent="0.25">
      <c r="A10" s="32" t="s">
        <v>507</v>
      </c>
      <c r="B10" s="32" t="str">
        <f t="shared" si="0"/>
        <v>"wSpc_00715",</v>
      </c>
    </row>
    <row r="11" spans="1:2" x14ac:dyDescent="0.25">
      <c r="A11" s="135" t="s">
        <v>509</v>
      </c>
      <c r="B11" s="32" t="str">
        <f t="shared" si="0"/>
        <v>"NW_025319046.1_Drosophila_ananassae",</v>
      </c>
    </row>
    <row r="12" spans="1:2" x14ac:dyDescent="0.25">
      <c r="A12" s="32" t="s">
        <v>508</v>
      </c>
      <c r="B12" s="32" t="str">
        <f t="shared" si="0"/>
        <v>"wRi_00741",</v>
      </c>
    </row>
    <row r="13" spans="1:2" x14ac:dyDescent="0.25">
      <c r="A13" s="135" t="s">
        <v>510</v>
      </c>
      <c r="B13" s="32" t="str">
        <f t="shared" si="0"/>
        <v>"NW_025319042.1_Drosophila_ananassae",</v>
      </c>
    </row>
    <row r="14" spans="1:2" x14ac:dyDescent="0.25">
      <c r="A14" s="32" t="s">
        <v>511</v>
      </c>
      <c r="B14" s="32" t="str">
        <f t="shared" si="0"/>
        <v>"SpiroDCM94_0002",</v>
      </c>
    </row>
    <row r="15" spans="1:2" x14ac:dyDescent="0.25">
      <c r="A15" s="32" t="s">
        <v>512</v>
      </c>
      <c r="B15" s="32" t="str">
        <f t="shared" si="0"/>
        <v>"SpiroDCF100_0002",</v>
      </c>
    </row>
    <row r="16" spans="1:2" x14ac:dyDescent="0.25">
      <c r="A16" s="32" t="s">
        <v>513</v>
      </c>
      <c r="B16" s="32" t="str">
        <f t="shared" si="0"/>
        <v>"wOrie_00131_00132",</v>
      </c>
    </row>
    <row r="17" spans="1:2" x14ac:dyDescent="0.25">
      <c r="A17" s="32" t="s">
        <v>514</v>
      </c>
      <c r="B17" s="32" t="str">
        <f t="shared" si="0"/>
        <v>"wAdent_01078",</v>
      </c>
    </row>
    <row r="18" spans="1:2" x14ac:dyDescent="0.25">
      <c r="A18" s="32" t="s">
        <v>516</v>
      </c>
      <c r="B18" s="32" t="str">
        <f t="shared" si="0"/>
        <v>"wAlbB_00481",</v>
      </c>
    </row>
    <row r="19" spans="1:2" x14ac:dyDescent="0.25">
      <c r="A19" s="32" t="s">
        <v>515</v>
      </c>
      <c r="B19" s="32" t="str">
        <f t="shared" si="0"/>
        <v>"wVitA_00397",</v>
      </c>
    </row>
    <row r="20" spans="1:2" x14ac:dyDescent="0.25">
      <c r="A20" s="32" t="s">
        <v>517</v>
      </c>
      <c r="B20" s="32" t="str">
        <f t="shared" si="0"/>
        <v>"wAdent_01125",</v>
      </c>
    </row>
    <row r="21" spans="1:2" x14ac:dyDescent="0.25">
      <c r="A21" s="135" t="s">
        <v>440</v>
      </c>
      <c r="B21" s="32" t="str">
        <f t="shared" si="0"/>
        <v>"Timema_californicum_OE198796.1",</v>
      </c>
    </row>
    <row r="22" spans="1:2" x14ac:dyDescent="0.25">
      <c r="A22" s="32" t="s">
        <v>518</v>
      </c>
      <c r="B22" s="32" t="str">
        <f t="shared" si="0"/>
        <v>"wOrie_00854",</v>
      </c>
    </row>
    <row r="23" spans="1:2" x14ac:dyDescent="0.25">
      <c r="A23" s="32" t="s">
        <v>519</v>
      </c>
      <c r="B23" s="32" t="str">
        <f t="shared" si="0"/>
        <v>"wPipPel_00323",</v>
      </c>
    </row>
    <row r="24" spans="1:2" x14ac:dyDescent="0.25">
      <c r="A24" s="32" t="s">
        <v>520</v>
      </c>
      <c r="B24" s="32" t="str">
        <f t="shared" si="0"/>
        <v>"wAlbB_00866",</v>
      </c>
    </row>
    <row r="25" spans="1:2" x14ac:dyDescent="0.25">
      <c r="A25" s="135" t="s">
        <v>393</v>
      </c>
      <c r="B25" s="32" t="str">
        <f t="shared" si="0"/>
        <v>"Amblyptilia_punctidactyla_OZ389411.1",</v>
      </c>
    </row>
    <row r="26" spans="1:2" x14ac:dyDescent="0.25">
      <c r="A26" s="32" t="s">
        <v>544</v>
      </c>
      <c r="B26" s="32" t="str">
        <f t="shared" si="0"/>
        <v>"wAdent_01086",</v>
      </c>
    </row>
    <row r="27" spans="1:2" x14ac:dyDescent="0.25">
      <c r="A27" s="32" t="s">
        <v>545</v>
      </c>
      <c r="B27" s="32" t="str">
        <f t="shared" si="0"/>
        <v>"wAcro5_00013",</v>
      </c>
    </row>
    <row r="28" spans="1:2" x14ac:dyDescent="0.25">
      <c r="A28" s="32" t="s">
        <v>546</v>
      </c>
      <c r="B28" s="32" t="str">
        <f t="shared" si="0"/>
        <v>"RhooCS_00745_746",</v>
      </c>
    </row>
    <row r="29" spans="1:2" x14ac:dyDescent="0.25">
      <c r="A29" s="32" t="s">
        <v>547</v>
      </c>
      <c r="B29" s="32" t="str">
        <f t="shared" si="0"/>
        <v>"RheiTIGMIC_01169",</v>
      </c>
    </row>
    <row r="30" spans="1:2" x14ac:dyDescent="0.25">
      <c r="A30" s="32" t="s">
        <v>548</v>
      </c>
      <c r="B30" s="32" t="str">
        <f t="shared" si="0"/>
        <v>"Rnzgw532_00186",</v>
      </c>
    </row>
    <row r="31" spans="1:2" x14ac:dyDescent="0.25">
      <c r="A31" s="32" t="s">
        <v>549</v>
      </c>
      <c r="B31" s="32" t="str">
        <f t="shared" si="0"/>
        <v>"RfelLSULb",</v>
      </c>
    </row>
    <row r="32" spans="1:2" x14ac:dyDescent="0.25">
      <c r="A32" s="32" t="s">
        <v>550</v>
      </c>
      <c r="B32" s="32" t="str">
        <f t="shared" si="0"/>
        <v>"OmasOs18_00296L",</v>
      </c>
    </row>
    <row r="33" spans="1:2" x14ac:dyDescent="0.25">
      <c r="A33" s="32" t="s">
        <v>551</v>
      </c>
      <c r="B33" s="32" t="str">
        <f t="shared" si="0"/>
        <v>"REOegW744_01508",</v>
      </c>
    </row>
    <row r="34" spans="1:2" x14ac:dyDescent="0.25">
      <c r="A34" s="32" t="s">
        <v>552</v>
      </c>
      <c r="B34" s="32" t="str">
        <f t="shared" si="0"/>
        <v>"RerNten_03099_03101",</v>
      </c>
    </row>
    <row r="35" spans="1:2" x14ac:dyDescent="0.25">
      <c r="A35" s="32" t="s">
        <v>553</v>
      </c>
      <c r="B35" s="32" t="str">
        <f t="shared" si="0"/>
        <v>"RerNten_03317_03318",</v>
      </c>
    </row>
    <row r="36" spans="1:2" x14ac:dyDescent="0.25">
      <c r="A36" s="32" t="s">
        <v>554</v>
      </c>
      <c r="B36" s="32" t="str">
        <f t="shared" si="0"/>
        <v>"REPolTer_01684",</v>
      </c>
    </row>
    <row r="37" spans="1:2" x14ac:dyDescent="0.25">
      <c r="A37" s="32" t="s">
        <v>556</v>
      </c>
      <c r="B37" s="32" t="str">
        <f t="shared" si="0"/>
        <v>"REPolTer_01729",</v>
      </c>
    </row>
    <row r="38" spans="1:2" x14ac:dyDescent="0.25">
      <c r="A38" s="32" t="s">
        <v>555</v>
      </c>
      <c r="B38" s="32" t="str">
        <f t="shared" si="0"/>
        <v>"REIarboMS4_00021",</v>
      </c>
    </row>
    <row r="39" spans="1:2" x14ac:dyDescent="0.25">
      <c r="A39" s="32" t="s">
        <v>521</v>
      </c>
      <c r="B39" s="32" t="str">
        <f t="shared" si="0"/>
        <v>"wDacB188_00004",</v>
      </c>
    </row>
    <row r="40" spans="1:2" x14ac:dyDescent="0.25">
      <c r="A40" s="32" t="s">
        <v>522</v>
      </c>
      <c r="B40" s="32" t="str">
        <f t="shared" si="0"/>
        <v>"MesenetGL2_00289",</v>
      </c>
    </row>
    <row r="41" spans="1:2" x14ac:dyDescent="0.25">
      <c r="A41" s="32" t="s">
        <v>523</v>
      </c>
      <c r="B41" s="32" t="str">
        <f t="shared" si="0"/>
        <v>"MesenetL5_00422",</v>
      </c>
    </row>
    <row r="42" spans="1:2" x14ac:dyDescent="0.25">
      <c r="A42" s="135" t="s">
        <v>455</v>
      </c>
      <c r="B42" s="32" t="str">
        <f t="shared" si="0"/>
        <v>"Abscondita_terminalis_KAF5269421.1",</v>
      </c>
    </row>
    <row r="43" spans="1:2" x14ac:dyDescent="0.25">
      <c r="A43" s="32" t="s">
        <v>524</v>
      </c>
      <c r="B43" s="32" t="str">
        <f t="shared" si="0"/>
        <v>"wStri84_00004",</v>
      </c>
    </row>
    <row r="44" spans="1:2" x14ac:dyDescent="0.25">
      <c r="A44" s="32" t="s">
        <v>525</v>
      </c>
      <c r="B44" s="32" t="str">
        <f t="shared" si="0"/>
        <v>"wCauA_00399",</v>
      </c>
    </row>
    <row r="45" spans="1:2" x14ac:dyDescent="0.25">
      <c r="A45" s="32" t="s">
        <v>526</v>
      </c>
      <c r="B45" s="32" t="str">
        <f t="shared" si="0"/>
        <v>"wCinUSA_00147_150",</v>
      </c>
    </row>
    <row r="46" spans="1:2" x14ac:dyDescent="0.25">
      <c r="A46" s="32" t="s">
        <v>527</v>
      </c>
      <c r="B46" s="32" t="str">
        <f t="shared" si="0"/>
        <v>"wDipl90_00004_00005",</v>
      </c>
    </row>
    <row r="47" spans="1:2" x14ac:dyDescent="0.25">
      <c r="A47" s="32" t="s">
        <v>498</v>
      </c>
      <c r="B47" s="32" t="str">
        <f t="shared" si="0"/>
        <v>"SDSifa_01430",</v>
      </c>
    </row>
    <row r="48" spans="1:2" x14ac:dyDescent="0.25">
      <c r="A48" s="32" t="s">
        <v>528</v>
      </c>
      <c r="B48" s="32" t="str">
        <f t="shared" si="0"/>
        <v>"RECuiRiCimp_01474",</v>
      </c>
    </row>
    <row r="49" spans="1:2" x14ac:dyDescent="0.25">
      <c r="A49" s="32" t="s">
        <v>529</v>
      </c>
      <c r="B49" s="32" t="str">
        <f t="shared" si="0"/>
        <v>"REDiaDallo3_00145",</v>
      </c>
    </row>
    <row r="50" spans="1:2" x14ac:dyDescent="0.25">
      <c r="A50" s="32" t="s">
        <v>530</v>
      </c>
      <c r="B50" s="32" t="str">
        <f t="shared" si="0"/>
        <v>"RERhiCon_00085",</v>
      </c>
    </row>
    <row r="51" spans="1:2" x14ac:dyDescent="0.25">
      <c r="A51" s="32" t="s">
        <v>532</v>
      </c>
      <c r="B51" s="32" t="str">
        <f t="shared" si="0"/>
        <v>"RECeuObs_00567_00568",</v>
      </c>
    </row>
    <row r="52" spans="1:2" x14ac:dyDescent="0.25">
      <c r="A52" s="32" t="s">
        <v>531</v>
      </c>
      <c r="B52" s="32" t="str">
        <f t="shared" si="0"/>
        <v>"REOxoOopax6_00992_993",</v>
      </c>
    </row>
    <row r="53" spans="1:2" x14ac:dyDescent="0.25">
      <c r="A53" s="32" t="s">
        <v>497</v>
      </c>
      <c r="B53" s="32" t="str">
        <f t="shared" si="0"/>
        <v>"SDPhma_01418",</v>
      </c>
    </row>
    <row r="54" spans="1:2" x14ac:dyDescent="0.25">
      <c r="A54" s="32" t="s">
        <v>496</v>
      </c>
      <c r="B54" s="32" t="str">
        <f t="shared" si="0"/>
        <v>"SDHywe_01453",</v>
      </c>
    </row>
    <row r="55" spans="1:2" x14ac:dyDescent="0.25">
      <c r="A55" s="32" t="s">
        <v>533</v>
      </c>
      <c r="B55" s="32" t="str">
        <f t="shared" si="0"/>
        <v>"MesenetL5_00647",</v>
      </c>
    </row>
    <row r="56" spans="1:2" x14ac:dyDescent="0.25">
      <c r="A56" s="32" t="s">
        <v>534</v>
      </c>
      <c r="B56" s="32" t="str">
        <f t="shared" si="0"/>
        <v>"MesenetGL2_00341",</v>
      </c>
    </row>
    <row r="57" spans="1:2" x14ac:dyDescent="0.25">
      <c r="A57" s="32" t="s">
        <v>535</v>
      </c>
      <c r="B57" s="32" t="str">
        <f t="shared" si="0"/>
        <v>"wDiac1_00003",</v>
      </c>
    </row>
    <row r="58" spans="1:2" x14ac:dyDescent="0.25">
      <c r="A58" s="32" t="s">
        <v>538</v>
      </c>
      <c r="B58" s="32" t="str">
        <f t="shared" si="0"/>
        <v>"wTri2_00010",</v>
      </c>
    </row>
    <row r="59" spans="1:2" x14ac:dyDescent="0.25">
      <c r="A59" s="135" t="s">
        <v>418</v>
      </c>
      <c r="B59" s="32" t="str">
        <f t="shared" si="0"/>
        <v>"Homalodisca_vitripennis_KAG8290569.1",</v>
      </c>
    </row>
    <row r="60" spans="1:2" x14ac:dyDescent="0.25">
      <c r="A60" s="135" t="s">
        <v>472</v>
      </c>
      <c r="B60" s="32" t="str">
        <f t="shared" si="0"/>
        <v>"Armadillidium_vulgare_OJH31527.1",</v>
      </c>
    </row>
    <row r="61" spans="1:2" x14ac:dyDescent="0.25">
      <c r="A61" s="135" t="s">
        <v>536</v>
      </c>
      <c r="B61" s="32" t="str">
        <f t="shared" si="0"/>
        <v>"Armadillidium_vulgare_OJH32952.1",</v>
      </c>
    </row>
    <row r="62" spans="1:2" x14ac:dyDescent="0.25">
      <c r="A62" s="135" t="s">
        <v>537</v>
      </c>
      <c r="B62" s="32" t="str">
        <f t="shared" si="0"/>
        <v>"Armadillidium_vulgare_OJH32251.1",</v>
      </c>
    </row>
    <row r="63" spans="1:2" x14ac:dyDescent="0.25">
      <c r="A63" s="135" t="s">
        <v>414</v>
      </c>
      <c r="B63" s="32" t="str">
        <f t="shared" si="0"/>
        <v>"Gerris_buenoi_CAO4854541.1",</v>
      </c>
    </row>
    <row r="64" spans="1:2" x14ac:dyDescent="0.25">
      <c r="A64" s="135" t="s">
        <v>416</v>
      </c>
      <c r="B64" s="32" t="str">
        <f t="shared" si="0"/>
        <v>"Gerris_buenoi_CAO4855892.1",</v>
      </c>
    </row>
    <row r="65" spans="1:2" x14ac:dyDescent="0.25">
      <c r="A65" s="135" t="s">
        <v>417</v>
      </c>
      <c r="B65" s="32" t="str">
        <f t="shared" si="0"/>
        <v>"Homalodisca_vitripennis_KAG8290545.1",</v>
      </c>
    </row>
    <row r="66" spans="1:2" x14ac:dyDescent="0.25">
      <c r="A66" s="32" t="s">
        <v>539</v>
      </c>
      <c r="B66" s="32" t="str">
        <f t="shared" si="0"/>
        <v>"wCer_00459",</v>
      </c>
    </row>
    <row r="67" spans="1:2" x14ac:dyDescent="0.25">
      <c r="A67" s="32" t="s">
        <v>540</v>
      </c>
      <c r="B67" s="32" t="str">
        <f t="shared" ref="B67:B113" si="1">""""&amp;A67&amp;""","</f>
        <v>"wIrr_00722_0723",</v>
      </c>
    </row>
    <row r="68" spans="1:2" x14ac:dyDescent="0.25">
      <c r="A68" s="32" t="s">
        <v>541</v>
      </c>
      <c r="B68" s="32" t="str">
        <f t="shared" si="1"/>
        <v>"wStri86_00004",</v>
      </c>
    </row>
    <row r="69" spans="1:2" x14ac:dyDescent="0.25">
      <c r="A69" s="32" t="s">
        <v>542</v>
      </c>
      <c r="B69" s="32" t="str">
        <f t="shared" si="1"/>
        <v>"wCinUSA_00830_831",</v>
      </c>
    </row>
    <row r="70" spans="1:2" x14ac:dyDescent="0.25">
      <c r="A70" s="32" t="s">
        <v>543</v>
      </c>
      <c r="B70" s="32" t="str">
        <f t="shared" si="1"/>
        <v>"wCauA_00749",</v>
      </c>
    </row>
    <row r="71" spans="1:2" x14ac:dyDescent="0.25">
      <c r="A71" s="32" t="s">
        <v>557</v>
      </c>
      <c r="B71" s="32" t="str">
        <f t="shared" si="1"/>
        <v>"wStriCN_01633",</v>
      </c>
    </row>
    <row r="72" spans="1:2" x14ac:dyDescent="0.25">
      <c r="A72" s="32" t="s">
        <v>558</v>
      </c>
      <c r="B72" s="32" t="str">
        <f t="shared" si="1"/>
        <v>"REPsaPante1_00254",</v>
      </c>
    </row>
    <row r="73" spans="1:2" x14ac:dyDescent="0.25">
      <c r="A73" s="32" t="s">
        <v>559</v>
      </c>
      <c r="B73" s="32" t="str">
        <f t="shared" si="1"/>
        <v>"REDioLin_01112",</v>
      </c>
    </row>
    <row r="74" spans="1:2" x14ac:dyDescent="0.25">
      <c r="A74" s="32" t="s">
        <v>560</v>
      </c>
      <c r="B74" s="32" t="str">
        <f t="shared" si="1"/>
        <v>"REDioRuf02_00993",</v>
      </c>
    </row>
    <row r="75" spans="1:2" x14ac:dyDescent="0.25">
      <c r="A75" s="135" t="s">
        <v>479</v>
      </c>
      <c r="B75" s="32" t="str">
        <f t="shared" si="1"/>
        <v>"Nephila_pilipes_GFS42335.1",</v>
      </c>
    </row>
    <row r="76" spans="1:2" x14ac:dyDescent="0.25">
      <c r="A76" s="32" t="s">
        <v>561</v>
      </c>
      <c r="B76" s="32" t="str">
        <f t="shared" si="1"/>
        <v>"wMeg_01120",</v>
      </c>
    </row>
    <row r="77" spans="1:2" x14ac:dyDescent="0.25">
      <c r="A77" s="32" t="s">
        <v>562</v>
      </c>
      <c r="B77" s="32" t="str">
        <f t="shared" si="1"/>
        <v>"wCon_00690",</v>
      </c>
    </row>
    <row r="78" spans="1:2" x14ac:dyDescent="0.25">
      <c r="A78" s="32" t="s">
        <v>566</v>
      </c>
      <c r="B78" s="32" t="str">
        <f t="shared" si="1"/>
        <v>"Rickettsiella_Opha_00924",</v>
      </c>
    </row>
    <row r="79" spans="1:2" x14ac:dyDescent="0.25">
      <c r="A79" s="32" t="s">
        <v>567</v>
      </c>
      <c r="B79" s="32" t="str">
        <f t="shared" si="1"/>
        <v>"WolOegibB_01013",</v>
      </c>
    </row>
    <row r="80" spans="1:2" x14ac:dyDescent="0.25">
      <c r="A80" s="32" t="s">
        <v>568</v>
      </c>
      <c r="B80" s="32" t="str">
        <f t="shared" si="1"/>
        <v>"WolOegibB_00494",</v>
      </c>
    </row>
    <row r="81" spans="1:2" x14ac:dyDescent="0.25">
      <c r="A81" s="135" t="s">
        <v>403</v>
      </c>
      <c r="B81" s="32" t="str">
        <f t="shared" si="1"/>
        <v>"Araneus_ventricosus_GBL78539.1",</v>
      </c>
    </row>
    <row r="82" spans="1:2" x14ac:dyDescent="0.25">
      <c r="A82" s="32" t="s">
        <v>569</v>
      </c>
      <c r="B82" s="32" t="str">
        <f t="shared" si="1"/>
        <v>"wOegib_00875",</v>
      </c>
    </row>
    <row r="83" spans="1:2" x14ac:dyDescent="0.25">
      <c r="A83" s="135" t="s">
        <v>406</v>
      </c>
      <c r="B83" s="32" t="str">
        <f t="shared" si="1"/>
        <v>"Dendroctonus_ponderosae_KAH1011015.1",</v>
      </c>
    </row>
    <row r="84" spans="1:2" x14ac:dyDescent="0.25">
      <c r="A84" s="135" t="s">
        <v>408</v>
      </c>
      <c r="B84" s="32" t="str">
        <f t="shared" si="1"/>
        <v>"Dendroctonus_ponderosae_XP_019765667.1",</v>
      </c>
    </row>
    <row r="85" spans="1:2" x14ac:dyDescent="0.25">
      <c r="A85" s="135" t="s">
        <v>590</v>
      </c>
      <c r="B85" s="32" t="str">
        <f t="shared" si="1"/>
        <v>"Dendroctonus_ponderosae_XM_048665546.1",</v>
      </c>
    </row>
    <row r="86" spans="1:2" x14ac:dyDescent="0.25">
      <c r="A86" s="135" t="s">
        <v>407</v>
      </c>
      <c r="B86" s="32" t="str">
        <f t="shared" si="1"/>
        <v>"Dendroctonus_ponderosae_XM_019910107.2",</v>
      </c>
    </row>
    <row r="87" spans="1:2" x14ac:dyDescent="0.25">
      <c r="A87" s="135" t="s">
        <v>473</v>
      </c>
      <c r="B87" s="32" t="str">
        <f t="shared" si="1"/>
        <v>"Brachionus_calyciflorus_CAF0888058.1",</v>
      </c>
    </row>
    <row r="88" spans="1:2" x14ac:dyDescent="0.25">
      <c r="A88" s="135" t="s">
        <v>434</v>
      </c>
      <c r="B88" s="32" t="str">
        <f t="shared" si="1"/>
        <v>"Phlebotomus_argentipes_XP_059612603.1",</v>
      </c>
    </row>
    <row r="89" spans="1:2" x14ac:dyDescent="0.25">
      <c r="A89" s="135" t="s">
        <v>422</v>
      </c>
      <c r="B89" s="32" t="str">
        <f t="shared" si="1"/>
        <v>"Lutzomyia_longipalpis_XP_055690609.1",</v>
      </c>
    </row>
    <row r="90" spans="1:2" x14ac:dyDescent="0.25">
      <c r="A90" s="135" t="s">
        <v>423</v>
      </c>
      <c r="B90" s="32" t="str">
        <f t="shared" si="1"/>
        <v>"Lutzomyia_longipalpis_XP_055690610.1",</v>
      </c>
    </row>
    <row r="91" spans="1:2" x14ac:dyDescent="0.25">
      <c r="A91" s="32" t="s">
        <v>565</v>
      </c>
      <c r="B91" s="32" t="str">
        <f t="shared" si="1"/>
        <v>"RickHf_00499",</v>
      </c>
    </row>
    <row r="92" spans="1:2" x14ac:dyDescent="0.25">
      <c r="A92" s="32" t="s">
        <v>564</v>
      </c>
      <c r="B92" s="32" t="str">
        <f t="shared" si="1"/>
        <v>"RllRCFS32_00070",</v>
      </c>
    </row>
    <row r="93" spans="1:2" x14ac:dyDescent="0.25">
      <c r="A93" s="32" t="s">
        <v>563</v>
      </c>
      <c r="B93" s="32" t="str">
        <f t="shared" si="1"/>
        <v>"wBor_00002",</v>
      </c>
    </row>
    <row r="94" spans="1:2" x14ac:dyDescent="0.25">
      <c r="A94" s="32" t="s">
        <v>570</v>
      </c>
      <c r="B94" s="32" t="str">
        <f t="shared" si="1"/>
        <v>"RgraBWI",</v>
      </c>
    </row>
    <row r="95" spans="1:2" x14ac:dyDescent="0.25">
      <c r="A95" s="32" t="s">
        <v>571</v>
      </c>
      <c r="B95" s="32" t="str">
        <f t="shared" si="1"/>
        <v>"REGlmRiTSETSE_00668",</v>
      </c>
    </row>
    <row r="96" spans="1:2" x14ac:dyDescent="0.25">
      <c r="A96" s="32" t="s">
        <v>572</v>
      </c>
      <c r="B96" s="32" t="str">
        <f t="shared" si="1"/>
        <v>"REAspAen_00411_0412",</v>
      </c>
    </row>
    <row r="97" spans="1:2" x14ac:dyDescent="0.25">
      <c r="A97" s="32" t="s">
        <v>573</v>
      </c>
      <c r="B97" s="32" t="str">
        <f t="shared" si="1"/>
        <v>"RECeuObs_00744_745M",</v>
      </c>
    </row>
    <row r="98" spans="1:2" x14ac:dyDescent="0.25">
      <c r="A98" s="32" t="s">
        <v>574</v>
      </c>
      <c r="B98" s="32" t="str">
        <f t="shared" si="1"/>
        <v>"RtamAT1",</v>
      </c>
    </row>
    <row r="99" spans="1:2" x14ac:dyDescent="0.25">
      <c r="A99" s="32" t="s">
        <v>576</v>
      </c>
      <c r="B99" s="32" t="str">
        <f t="shared" si="1"/>
        <v>"RambAc37_01158",</v>
      </c>
    </row>
    <row r="100" spans="1:2" x14ac:dyDescent="0.25">
      <c r="A100" s="32" t="s">
        <v>577</v>
      </c>
      <c r="B100" s="32" t="str">
        <f t="shared" si="1"/>
        <v>"RambDW_01274_01275",</v>
      </c>
    </row>
    <row r="101" spans="1:2" x14ac:dyDescent="0.25">
      <c r="A101" s="32" t="s">
        <v>578</v>
      </c>
      <c r="B101" s="32" t="str">
        <f t="shared" si="1"/>
        <v>"RambGAT_01151",</v>
      </c>
    </row>
    <row r="102" spans="1:2" x14ac:dyDescent="0.25">
      <c r="A102" s="32" t="s">
        <v>579</v>
      </c>
      <c r="B102" s="32" t="str">
        <f t="shared" si="1"/>
        <v>"RambMeda_01243_01238",</v>
      </c>
    </row>
    <row r="103" spans="1:2" x14ac:dyDescent="0.25">
      <c r="A103" s="32" t="s">
        <v>580</v>
      </c>
      <c r="B103" s="32" t="str">
        <f t="shared" si="1"/>
        <v>"RambAn13_00006",</v>
      </c>
    </row>
    <row r="104" spans="1:2" x14ac:dyDescent="0.25">
      <c r="A104" s="32" t="s">
        <v>575</v>
      </c>
      <c r="B104" s="32" t="str">
        <f t="shared" si="1"/>
        <v>"RambAcPa_01372_1374",</v>
      </c>
    </row>
    <row r="105" spans="1:2" x14ac:dyDescent="0.25">
      <c r="A105" s="32" t="s">
        <v>581</v>
      </c>
      <c r="B105" s="32" t="str">
        <f t="shared" si="1"/>
        <v>"REMetSeq",</v>
      </c>
    </row>
    <row r="106" spans="1:2" x14ac:dyDescent="0.25">
      <c r="A106" s="32" t="s">
        <v>582</v>
      </c>
      <c r="B106" s="32" t="str">
        <f t="shared" si="1"/>
        <v>"RarbT170_0554_555M",</v>
      </c>
    </row>
    <row r="107" spans="1:2" x14ac:dyDescent="0.25">
      <c r="A107" s="32" t="s">
        <v>583</v>
      </c>
      <c r="B107" s="32" t="str">
        <f t="shared" si="1"/>
        <v>"RhooRCCE_01273L",</v>
      </c>
    </row>
    <row r="108" spans="1:2" x14ac:dyDescent="0.25">
      <c r="A108" s="32" t="s">
        <v>584</v>
      </c>
      <c r="B108" s="32" t="str">
        <f t="shared" si="1"/>
        <v>"Rlusi_Oerra_bin22_00945",</v>
      </c>
    </row>
    <row r="109" spans="1:2" x14ac:dyDescent="0.25">
      <c r="A109" s="32" t="s">
        <v>585</v>
      </c>
      <c r="B109" s="32" t="str">
        <f t="shared" si="1"/>
        <v>"OtsuFPW1038_00762",</v>
      </c>
    </row>
    <row r="110" spans="1:2" x14ac:dyDescent="0.25">
      <c r="A110" s="32" t="s">
        <v>586</v>
      </c>
      <c r="B110" s="32" t="str">
        <f t="shared" si="1"/>
        <v>"OtsuBor_01821",</v>
      </c>
    </row>
    <row r="111" spans="1:2" x14ac:dyDescent="0.25">
      <c r="A111" s="32" t="s">
        <v>587</v>
      </c>
      <c r="B111" s="32" t="str">
        <f t="shared" si="1"/>
        <v>"OtsuKarp_01381",</v>
      </c>
    </row>
    <row r="112" spans="1:2" x14ac:dyDescent="0.25">
      <c r="A112" s="32" t="s">
        <v>588</v>
      </c>
      <c r="B112" s="32" t="str">
        <f t="shared" si="1"/>
        <v>"OtsuAFSC7_00409",</v>
      </c>
    </row>
    <row r="113" spans="1:2" x14ac:dyDescent="0.25">
      <c r="A113" s="32" t="s">
        <v>589</v>
      </c>
      <c r="B113" s="32" t="str">
        <f t="shared" si="1"/>
        <v>"OtsuIke_00800",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9358-46E4-4EBE-A012-520FECB06323}">
  <dimension ref="A1:AB18"/>
  <sheetViews>
    <sheetView topLeftCell="B1" zoomScale="85" zoomScaleNormal="85" workbookViewId="0">
      <selection activeCell="S20" sqref="S20"/>
    </sheetView>
  </sheetViews>
  <sheetFormatPr baseColWidth="10" defaultRowHeight="15" x14ac:dyDescent="0.25"/>
  <cols>
    <col min="1" max="2" width="20.140625" style="32" bestFit="1" customWidth="1"/>
    <col min="3" max="3" width="15.28515625" style="32" customWidth="1"/>
    <col min="4" max="4" width="32.42578125" bestFit="1" customWidth="1"/>
    <col min="5" max="5" width="27.140625" bestFit="1" customWidth="1"/>
    <col min="6" max="6" width="10.28515625" bestFit="1" customWidth="1"/>
    <col min="8" max="8" width="13.28515625" bestFit="1" customWidth="1"/>
    <col min="9" max="9" width="4" bestFit="1" customWidth="1"/>
    <col min="10" max="10" width="0" hidden="1" customWidth="1"/>
    <col min="11" max="11" width="2.5703125" customWidth="1"/>
    <col min="12" max="12" width="2.5703125" style="32" customWidth="1"/>
    <col min="13" max="13" width="2.5703125" bestFit="1" customWidth="1"/>
    <col min="14" max="14" width="8.5703125" customWidth="1"/>
    <col min="15" max="15" width="9.85546875" customWidth="1"/>
    <col min="18" max="18" width="22.140625" bestFit="1" customWidth="1"/>
    <col min="21" max="21" width="20.5703125" bestFit="1" customWidth="1"/>
    <col min="22" max="22" width="14.7109375" bestFit="1" customWidth="1"/>
    <col min="25" max="25" width="15.140625" style="32" bestFit="1" customWidth="1"/>
    <col min="26" max="27" width="11.42578125" style="32"/>
    <col min="28" max="31" width="11.28515625" customWidth="1"/>
  </cols>
  <sheetData>
    <row r="1" spans="1:28" x14ac:dyDescent="0.25">
      <c r="A1" s="74" t="s">
        <v>191</v>
      </c>
      <c r="B1" s="74" t="s">
        <v>180</v>
      </c>
      <c r="C1" s="74" t="s">
        <v>190</v>
      </c>
      <c r="D1" s="74" t="s">
        <v>1</v>
      </c>
      <c r="E1" s="74" t="s">
        <v>2</v>
      </c>
      <c r="F1" s="74" t="s">
        <v>181</v>
      </c>
      <c r="G1" s="74" t="s">
        <v>3</v>
      </c>
      <c r="H1" s="74" t="s">
        <v>4</v>
      </c>
      <c r="I1" s="74" t="s">
        <v>182</v>
      </c>
      <c r="J1" s="74" t="s">
        <v>189</v>
      </c>
      <c r="K1" s="74" t="s">
        <v>333</v>
      </c>
      <c r="L1" s="75" t="s">
        <v>19</v>
      </c>
      <c r="M1" s="75" t="s">
        <v>293</v>
      </c>
      <c r="N1" s="76" t="s">
        <v>294</v>
      </c>
      <c r="O1" s="75" t="s">
        <v>295</v>
      </c>
      <c r="P1" s="75" t="s">
        <v>296</v>
      </c>
      <c r="Q1" s="75" t="s">
        <v>297</v>
      </c>
      <c r="R1" s="75" t="s">
        <v>298</v>
      </c>
      <c r="S1" s="75" t="s">
        <v>299</v>
      </c>
      <c r="T1" s="75" t="s">
        <v>300</v>
      </c>
      <c r="U1" s="75" t="s">
        <v>301</v>
      </c>
      <c r="V1" s="76" t="s">
        <v>302</v>
      </c>
      <c r="W1" s="77" t="s">
        <v>303</v>
      </c>
      <c r="X1" s="75" t="s">
        <v>304</v>
      </c>
      <c r="Y1" s="75" t="s">
        <v>338</v>
      </c>
      <c r="Z1" s="75"/>
      <c r="AA1" s="75"/>
      <c r="AB1" s="75" t="s">
        <v>305</v>
      </c>
    </row>
    <row r="2" spans="1:28" x14ac:dyDescent="0.25">
      <c r="A2" s="80" t="s">
        <v>202</v>
      </c>
      <c r="B2" s="79" t="s">
        <v>195</v>
      </c>
      <c r="C2" s="92" t="s">
        <v>201</v>
      </c>
      <c r="D2" s="81" t="str">
        <f t="shared" ref="D2:D18" si="0">_xlfn.CONCAT(E2,"_",F2)</f>
        <v>Drosophila_ananassae_cHI</v>
      </c>
      <c r="E2" s="96" t="s">
        <v>82</v>
      </c>
      <c r="F2" s="85" t="s">
        <v>196</v>
      </c>
      <c r="G2" s="83" t="s">
        <v>15</v>
      </c>
      <c r="H2" s="83" t="s">
        <v>83</v>
      </c>
      <c r="I2" s="97" t="s">
        <v>306</v>
      </c>
      <c r="J2" s="80" t="s">
        <v>200</v>
      </c>
      <c r="K2" s="83">
        <v>1</v>
      </c>
      <c r="L2" s="80"/>
      <c r="M2" s="80"/>
      <c r="N2" s="80"/>
      <c r="O2" s="80"/>
      <c r="P2" s="80"/>
      <c r="Q2" s="80"/>
      <c r="R2" s="80"/>
      <c r="S2" s="80"/>
      <c r="T2" s="80"/>
      <c r="U2" s="80"/>
      <c r="V2" s="80"/>
      <c r="W2" s="80"/>
      <c r="X2" s="80"/>
      <c r="Y2" s="80"/>
      <c r="Z2" s="80"/>
      <c r="AA2" s="80"/>
      <c r="AB2" s="80"/>
    </row>
    <row r="3" spans="1:28" s="32" customFormat="1" x14ac:dyDescent="0.25">
      <c r="A3" s="80" t="s">
        <v>211</v>
      </c>
      <c r="B3" s="79" t="s">
        <v>205</v>
      </c>
      <c r="C3" s="92" t="s">
        <v>210</v>
      </c>
      <c r="D3" s="80" t="str">
        <f t="shared" si="0"/>
        <v>Amblyptilia_punctidactyla_ilAmb</v>
      </c>
      <c r="E3" s="81" t="s">
        <v>24</v>
      </c>
      <c r="F3" s="85" t="s">
        <v>206</v>
      </c>
      <c r="G3" s="83" t="s">
        <v>15</v>
      </c>
      <c r="H3" s="83" t="s">
        <v>25</v>
      </c>
      <c r="I3" s="93" t="s">
        <v>207</v>
      </c>
      <c r="J3" s="85"/>
      <c r="K3" s="83">
        <v>0</v>
      </c>
      <c r="L3" s="60">
        <v>1</v>
      </c>
      <c r="M3" s="60">
        <v>1</v>
      </c>
      <c r="N3" s="86" t="s">
        <v>308</v>
      </c>
      <c r="O3" s="87">
        <v>0.98</v>
      </c>
      <c r="P3" s="88">
        <v>2E-91</v>
      </c>
      <c r="Q3" s="89" t="s">
        <v>309</v>
      </c>
      <c r="R3" s="60" t="s">
        <v>26</v>
      </c>
      <c r="S3" s="60">
        <v>13709097</v>
      </c>
      <c r="T3" s="60">
        <v>13709653</v>
      </c>
      <c r="U3" s="60" t="s">
        <v>310</v>
      </c>
      <c r="V3" s="60" t="s">
        <v>311</v>
      </c>
      <c r="W3" s="60">
        <v>1</v>
      </c>
      <c r="X3" s="80"/>
      <c r="Y3" s="80"/>
      <c r="Z3" s="80"/>
      <c r="AA3" s="80"/>
      <c r="AB3" s="80"/>
    </row>
    <row r="4" spans="1:28" x14ac:dyDescent="0.25">
      <c r="A4" s="85"/>
      <c r="B4" s="79" t="s">
        <v>212</v>
      </c>
      <c r="C4" s="85"/>
      <c r="D4" s="80" t="str">
        <f t="shared" si="0"/>
        <v>Timema_californicum_T76</v>
      </c>
      <c r="E4" s="81" t="s">
        <v>159</v>
      </c>
      <c r="F4" s="85" t="s">
        <v>213</v>
      </c>
      <c r="G4" s="83" t="s">
        <v>15</v>
      </c>
      <c r="H4" s="83" t="s">
        <v>160</v>
      </c>
      <c r="I4" s="93" t="s">
        <v>207</v>
      </c>
      <c r="J4" s="85" t="s">
        <v>216</v>
      </c>
      <c r="K4" s="83">
        <v>1</v>
      </c>
      <c r="L4" s="80"/>
      <c r="M4" s="80"/>
      <c r="N4" s="80"/>
      <c r="O4" s="80"/>
      <c r="P4" s="80"/>
      <c r="Q4" s="80"/>
      <c r="R4" s="80"/>
      <c r="S4" s="80"/>
      <c r="T4" s="80"/>
      <c r="U4" s="80"/>
      <c r="V4" s="80"/>
      <c r="W4" s="80"/>
      <c r="X4" s="80"/>
      <c r="Y4" s="80"/>
      <c r="Z4" s="80"/>
      <c r="AA4" s="80"/>
      <c r="AB4" s="80"/>
    </row>
    <row r="5" spans="1:28" x14ac:dyDescent="0.25">
      <c r="A5" s="78" t="s">
        <v>225</v>
      </c>
      <c r="B5" s="79" t="s">
        <v>217</v>
      </c>
      <c r="C5" s="78" t="s">
        <v>224</v>
      </c>
      <c r="D5" s="80" t="str">
        <f t="shared" si="0"/>
        <v>Abscondita_terminalis_Ate-2015</v>
      </c>
      <c r="E5" s="81" t="s">
        <v>14</v>
      </c>
      <c r="F5" s="82" t="s">
        <v>218</v>
      </c>
      <c r="G5" s="83" t="s">
        <v>15</v>
      </c>
      <c r="H5" s="83" t="s">
        <v>16</v>
      </c>
      <c r="I5" s="84" t="s">
        <v>219</v>
      </c>
      <c r="J5" s="85"/>
      <c r="K5" s="83">
        <v>0</v>
      </c>
      <c r="L5" s="60">
        <v>1</v>
      </c>
      <c r="M5" s="60">
        <v>1</v>
      </c>
      <c r="N5" s="86" t="s">
        <v>318</v>
      </c>
      <c r="O5" s="87">
        <v>1</v>
      </c>
      <c r="P5" s="88">
        <v>9.9999999999999999E-93</v>
      </c>
      <c r="Q5" s="89" t="s">
        <v>319</v>
      </c>
      <c r="R5" s="90" t="s">
        <v>221</v>
      </c>
      <c r="S5" s="60">
        <v>96616</v>
      </c>
      <c r="T5" s="60">
        <v>97236</v>
      </c>
      <c r="U5" s="60" t="s">
        <v>320</v>
      </c>
      <c r="V5" s="60" t="s">
        <v>17</v>
      </c>
      <c r="W5" s="60">
        <v>1</v>
      </c>
      <c r="X5" s="60">
        <v>1</v>
      </c>
      <c r="Y5" s="60"/>
      <c r="Z5" s="60"/>
      <c r="AA5" s="60"/>
      <c r="AB5" s="91" t="s">
        <v>321</v>
      </c>
    </row>
    <row r="6" spans="1:28" x14ac:dyDescent="0.25">
      <c r="A6" s="78" t="s">
        <v>225</v>
      </c>
      <c r="B6" s="79" t="s">
        <v>217</v>
      </c>
      <c r="C6" s="78" t="s">
        <v>224</v>
      </c>
      <c r="D6" s="80" t="str">
        <f t="shared" si="0"/>
        <v>Abscondita_terminalis_Ate-2015</v>
      </c>
      <c r="E6" s="81" t="s">
        <v>14</v>
      </c>
      <c r="F6" s="82" t="s">
        <v>218</v>
      </c>
      <c r="G6" s="83" t="s">
        <v>15</v>
      </c>
      <c r="H6" s="83" t="s">
        <v>16</v>
      </c>
      <c r="I6" s="84" t="s">
        <v>219</v>
      </c>
      <c r="J6" s="85"/>
      <c r="K6" s="83">
        <v>0</v>
      </c>
      <c r="L6" s="60">
        <v>1</v>
      </c>
      <c r="M6" s="60">
        <v>2</v>
      </c>
      <c r="N6" s="86" t="s">
        <v>318</v>
      </c>
      <c r="O6" s="87">
        <v>1</v>
      </c>
      <c r="P6" s="88">
        <v>9.9999999999999995E-45</v>
      </c>
      <c r="Q6" s="89" t="s">
        <v>322</v>
      </c>
      <c r="R6" s="60" t="s">
        <v>323</v>
      </c>
      <c r="S6" s="60">
        <v>2763929</v>
      </c>
      <c r="T6" s="60">
        <v>2764530</v>
      </c>
      <c r="U6" s="60" t="s">
        <v>324</v>
      </c>
      <c r="V6" s="60" t="s">
        <v>334</v>
      </c>
      <c r="W6" s="91"/>
      <c r="X6" s="60"/>
      <c r="Y6" s="60"/>
      <c r="Z6" s="60"/>
      <c r="AA6" s="60"/>
      <c r="AB6" s="91"/>
    </row>
    <row r="7" spans="1:28" s="32" customFormat="1" x14ac:dyDescent="0.25">
      <c r="A7" s="78" t="s">
        <v>241</v>
      </c>
      <c r="B7" s="79" t="s">
        <v>236</v>
      </c>
      <c r="C7" s="78" t="s">
        <v>240</v>
      </c>
      <c r="D7" s="80" t="str">
        <f t="shared" si="0"/>
        <v>Armadillidium_vulgare_WXf-1543</v>
      </c>
      <c r="E7" s="81" t="s">
        <v>46</v>
      </c>
      <c r="F7" s="78" t="s">
        <v>237</v>
      </c>
      <c r="G7" s="83" t="s">
        <v>15</v>
      </c>
      <c r="H7" s="83" t="s">
        <v>47</v>
      </c>
      <c r="I7" s="95" t="s">
        <v>229</v>
      </c>
      <c r="J7" s="85"/>
      <c r="K7" s="83">
        <v>0</v>
      </c>
      <c r="L7" s="60">
        <v>1</v>
      </c>
      <c r="M7" s="60">
        <v>1</v>
      </c>
      <c r="N7" s="86" t="s">
        <v>326</v>
      </c>
      <c r="O7" s="87">
        <v>1</v>
      </c>
      <c r="P7" s="88">
        <v>2E-99</v>
      </c>
      <c r="Q7" s="89" t="s">
        <v>327</v>
      </c>
      <c r="R7" s="83" t="s">
        <v>238</v>
      </c>
      <c r="S7" s="60">
        <v>2339216</v>
      </c>
      <c r="T7" s="60">
        <v>2339848</v>
      </c>
      <c r="U7" s="89" t="s">
        <v>328</v>
      </c>
      <c r="V7" s="60" t="s">
        <v>311</v>
      </c>
      <c r="W7" s="60">
        <v>1</v>
      </c>
      <c r="X7" s="80"/>
      <c r="Y7" s="80"/>
      <c r="Z7" s="80"/>
      <c r="AA7" s="80"/>
      <c r="AB7" s="80"/>
    </row>
    <row r="8" spans="1:28" s="32" customFormat="1" x14ac:dyDescent="0.25">
      <c r="A8" s="78" t="s">
        <v>241</v>
      </c>
      <c r="B8" s="79" t="s">
        <v>236</v>
      </c>
      <c r="C8" s="78" t="s">
        <v>240</v>
      </c>
      <c r="D8" s="80" t="str">
        <f t="shared" si="0"/>
        <v>Armadillidium_vulgare_WXf-1543</v>
      </c>
      <c r="E8" s="81" t="s">
        <v>46</v>
      </c>
      <c r="F8" s="78" t="s">
        <v>237</v>
      </c>
      <c r="G8" s="83" t="s">
        <v>15</v>
      </c>
      <c r="H8" s="83" t="s">
        <v>47</v>
      </c>
      <c r="I8" s="95" t="s">
        <v>229</v>
      </c>
      <c r="J8" s="85"/>
      <c r="K8" s="83">
        <v>0</v>
      </c>
      <c r="L8" s="60">
        <v>1</v>
      </c>
      <c r="M8" s="60">
        <v>1</v>
      </c>
      <c r="N8" s="86" t="s">
        <v>326</v>
      </c>
      <c r="O8" s="87">
        <v>1</v>
      </c>
      <c r="P8" s="88">
        <v>2E-99</v>
      </c>
      <c r="Q8" s="89" t="s">
        <v>327</v>
      </c>
      <c r="R8" s="83" t="s">
        <v>238</v>
      </c>
      <c r="S8" s="60">
        <v>1630884</v>
      </c>
      <c r="T8" s="60">
        <v>1631516</v>
      </c>
      <c r="U8" s="60" t="s">
        <v>330</v>
      </c>
      <c r="V8" s="60" t="s">
        <v>311</v>
      </c>
      <c r="W8" s="60">
        <v>1</v>
      </c>
      <c r="X8" s="80"/>
      <c r="Y8" s="80"/>
      <c r="Z8" s="80"/>
      <c r="AA8" s="80"/>
      <c r="AB8" s="80"/>
    </row>
    <row r="9" spans="1:28" x14ac:dyDescent="0.25">
      <c r="A9" s="78" t="s">
        <v>241</v>
      </c>
      <c r="B9" s="79" t="s">
        <v>236</v>
      </c>
      <c r="C9" s="78" t="s">
        <v>240</v>
      </c>
      <c r="D9" s="80" t="str">
        <f t="shared" si="0"/>
        <v>Armadillidium_vulgare_WXf-1543</v>
      </c>
      <c r="E9" s="81" t="s">
        <v>46</v>
      </c>
      <c r="F9" s="78" t="s">
        <v>237</v>
      </c>
      <c r="G9" s="83" t="s">
        <v>15</v>
      </c>
      <c r="H9" s="83" t="s">
        <v>47</v>
      </c>
      <c r="I9" s="95" t="s">
        <v>229</v>
      </c>
      <c r="J9" s="85"/>
      <c r="K9" s="83">
        <v>0</v>
      </c>
      <c r="L9" s="60">
        <v>1</v>
      </c>
      <c r="M9" s="60">
        <v>1</v>
      </c>
      <c r="N9" s="86" t="s">
        <v>326</v>
      </c>
      <c r="O9" s="87">
        <v>1</v>
      </c>
      <c r="P9" s="88">
        <v>2E-99</v>
      </c>
      <c r="Q9" s="89" t="s">
        <v>327</v>
      </c>
      <c r="R9" s="83" t="s">
        <v>238</v>
      </c>
      <c r="S9" s="89">
        <v>889145</v>
      </c>
      <c r="T9" s="60">
        <v>889777</v>
      </c>
      <c r="U9" s="60" t="s">
        <v>332</v>
      </c>
      <c r="V9" s="60" t="s">
        <v>311</v>
      </c>
      <c r="W9" s="60">
        <v>1</v>
      </c>
      <c r="X9" s="80"/>
      <c r="Y9" s="80"/>
      <c r="Z9" s="80"/>
      <c r="AA9" s="80"/>
      <c r="AB9" s="80"/>
    </row>
    <row r="10" spans="1:28" x14ac:dyDescent="0.25">
      <c r="A10" s="85" t="s">
        <v>234</v>
      </c>
      <c r="B10" s="79" t="s">
        <v>227</v>
      </c>
      <c r="C10" s="85" t="s">
        <v>233</v>
      </c>
      <c r="D10" s="80" t="str">
        <f t="shared" si="0"/>
        <v>Gerris_buenoi_Swe94</v>
      </c>
      <c r="E10" s="81" t="s">
        <v>94</v>
      </c>
      <c r="F10" s="85" t="s">
        <v>228</v>
      </c>
      <c r="G10" s="83" t="s">
        <v>15</v>
      </c>
      <c r="H10" s="83" t="s">
        <v>63</v>
      </c>
      <c r="I10" s="95" t="s">
        <v>229</v>
      </c>
      <c r="J10" s="85"/>
      <c r="K10" s="83">
        <v>1</v>
      </c>
      <c r="L10" s="80"/>
      <c r="M10" s="80"/>
      <c r="N10" s="80"/>
      <c r="O10" s="80"/>
      <c r="P10" s="80"/>
      <c r="Q10" s="80"/>
      <c r="R10" s="80"/>
      <c r="S10" s="80"/>
      <c r="T10" s="80"/>
      <c r="U10" s="80"/>
      <c r="V10" s="80"/>
      <c r="W10" s="80"/>
      <c r="X10" s="80"/>
      <c r="Y10" s="80"/>
      <c r="Z10" s="80"/>
      <c r="AA10" s="80"/>
      <c r="AB10" s="80"/>
    </row>
    <row r="11" spans="1:28" x14ac:dyDescent="0.25">
      <c r="A11" s="85" t="s">
        <v>248</v>
      </c>
      <c r="B11" s="79" t="s">
        <v>242</v>
      </c>
      <c r="C11" s="78" t="s">
        <v>247</v>
      </c>
      <c r="D11" s="80" t="str">
        <f t="shared" si="0"/>
        <v>Homalodisca_vitripennis_Tul88</v>
      </c>
      <c r="E11" s="81" t="s">
        <v>97</v>
      </c>
      <c r="F11" s="78" t="s">
        <v>243</v>
      </c>
      <c r="G11" s="83" t="s">
        <v>15</v>
      </c>
      <c r="H11" s="83" t="s">
        <v>63</v>
      </c>
      <c r="I11" s="95" t="s">
        <v>229</v>
      </c>
      <c r="J11" s="85" t="s">
        <v>246</v>
      </c>
      <c r="K11" s="83">
        <v>1</v>
      </c>
      <c r="L11" s="80"/>
      <c r="M11" s="80"/>
      <c r="N11" s="80"/>
      <c r="O11" s="80"/>
      <c r="P11" s="80"/>
      <c r="Q11" s="80"/>
      <c r="R11" s="80"/>
      <c r="S11" s="80"/>
      <c r="T11" s="80"/>
      <c r="U11" s="80"/>
      <c r="V11" s="80"/>
      <c r="W11" s="80"/>
      <c r="X11" s="80"/>
      <c r="Y11" s="80"/>
      <c r="Z11" s="80"/>
      <c r="AA11" s="80"/>
      <c r="AB11" s="80"/>
    </row>
    <row r="12" spans="1:28" x14ac:dyDescent="0.25">
      <c r="A12" s="92" t="s">
        <v>255</v>
      </c>
      <c r="B12" s="79" t="s">
        <v>249</v>
      </c>
      <c r="C12" s="78" t="s">
        <v>254</v>
      </c>
      <c r="D12" s="80" t="str">
        <f t="shared" si="0"/>
        <v>Araneus_ventricosus_Yam34</v>
      </c>
      <c r="E12" s="81" t="s">
        <v>35</v>
      </c>
      <c r="F12" s="78" t="s">
        <v>250</v>
      </c>
      <c r="G12" s="83" t="s">
        <v>15</v>
      </c>
      <c r="H12" s="83" t="s">
        <v>36</v>
      </c>
      <c r="I12" s="94" t="s">
        <v>251</v>
      </c>
      <c r="J12" s="85"/>
      <c r="K12" s="83">
        <v>1</v>
      </c>
      <c r="L12" s="80"/>
      <c r="M12" s="80"/>
      <c r="N12" s="80" t="s">
        <v>335</v>
      </c>
      <c r="O12" s="98">
        <v>1</v>
      </c>
      <c r="P12" s="99">
        <v>5.0000000000000003E-153</v>
      </c>
      <c r="Q12" s="80" t="s">
        <v>336</v>
      </c>
      <c r="R12" s="80" t="s">
        <v>252</v>
      </c>
      <c r="S12" s="80">
        <v>181677</v>
      </c>
      <c r="T12" s="80">
        <v>182456</v>
      </c>
      <c r="U12" s="80" t="s">
        <v>337</v>
      </c>
      <c r="V12" s="80" t="s">
        <v>41</v>
      </c>
      <c r="W12" s="80">
        <v>1</v>
      </c>
      <c r="X12" s="80"/>
      <c r="Y12" s="80"/>
      <c r="Z12" s="80"/>
      <c r="AA12" s="80"/>
      <c r="AB12" s="80"/>
    </row>
    <row r="13" spans="1:28" x14ac:dyDescent="0.25">
      <c r="A13" s="80" t="s">
        <v>273</v>
      </c>
      <c r="B13" s="79" t="s">
        <v>268</v>
      </c>
      <c r="C13" s="92" t="s">
        <v>272</v>
      </c>
      <c r="D13" s="80" t="str">
        <f t="shared" si="0"/>
        <v>Brachionus_calyciflorus_Ploen</v>
      </c>
      <c r="E13" s="81" t="s">
        <v>59</v>
      </c>
      <c r="F13" s="78" t="s">
        <v>269</v>
      </c>
      <c r="G13" s="83" t="s">
        <v>60</v>
      </c>
      <c r="H13" s="83" t="s">
        <v>60</v>
      </c>
      <c r="I13" s="94" t="s">
        <v>251</v>
      </c>
      <c r="J13" s="85"/>
      <c r="K13" s="83">
        <v>0</v>
      </c>
      <c r="L13" s="80">
        <v>1</v>
      </c>
      <c r="M13" s="80">
        <v>0</v>
      </c>
      <c r="N13" s="83" t="s">
        <v>311</v>
      </c>
      <c r="O13" s="83" t="s">
        <v>311</v>
      </c>
      <c r="P13" s="83" t="s">
        <v>311</v>
      </c>
      <c r="Q13" s="83" t="s">
        <v>311</v>
      </c>
      <c r="R13" s="83" t="s">
        <v>311</v>
      </c>
      <c r="S13" s="83" t="s">
        <v>311</v>
      </c>
      <c r="T13" s="83" t="s">
        <v>311</v>
      </c>
      <c r="U13" s="83" t="s">
        <v>311</v>
      </c>
      <c r="V13" s="83" t="s">
        <v>311</v>
      </c>
      <c r="W13" s="83" t="s">
        <v>311</v>
      </c>
      <c r="X13" s="83" t="s">
        <v>311</v>
      </c>
      <c r="Y13" s="83"/>
      <c r="Z13" s="83"/>
      <c r="AA13" s="83"/>
      <c r="AB13" s="83" t="s">
        <v>311</v>
      </c>
    </row>
    <row r="14" spans="1:28" x14ac:dyDescent="0.25">
      <c r="A14" s="80" t="s">
        <v>279</v>
      </c>
      <c r="B14" s="78" t="s">
        <v>274</v>
      </c>
      <c r="C14" s="92" t="s">
        <v>278</v>
      </c>
      <c r="D14" s="80" t="str">
        <f t="shared" si="0"/>
        <v>Dendroctonus_ponderosae_FM20</v>
      </c>
      <c r="E14" s="81" t="s">
        <v>71</v>
      </c>
      <c r="F14" s="85" t="s">
        <v>275</v>
      </c>
      <c r="G14" s="83" t="s">
        <v>15</v>
      </c>
      <c r="H14" s="83" t="s">
        <v>16</v>
      </c>
      <c r="I14" s="94" t="s">
        <v>251</v>
      </c>
      <c r="J14" s="80" t="s">
        <v>200</v>
      </c>
      <c r="K14" s="83">
        <v>0</v>
      </c>
      <c r="L14" s="80">
        <v>1</v>
      </c>
      <c r="M14" s="80">
        <v>0</v>
      </c>
      <c r="N14" s="83" t="s">
        <v>311</v>
      </c>
      <c r="O14" s="83" t="s">
        <v>311</v>
      </c>
      <c r="P14" s="83" t="s">
        <v>311</v>
      </c>
      <c r="Q14" s="83" t="s">
        <v>311</v>
      </c>
      <c r="R14" s="83" t="s">
        <v>311</v>
      </c>
      <c r="S14" s="83" t="s">
        <v>311</v>
      </c>
      <c r="T14" s="83" t="s">
        <v>311</v>
      </c>
      <c r="U14" s="83" t="s">
        <v>311</v>
      </c>
      <c r="V14" s="83" t="s">
        <v>311</v>
      </c>
      <c r="W14" s="83" t="s">
        <v>311</v>
      </c>
      <c r="X14" s="83" t="s">
        <v>311</v>
      </c>
      <c r="Y14" s="83"/>
      <c r="Z14" s="83"/>
      <c r="AA14" s="83"/>
      <c r="AB14" s="83" t="s">
        <v>311</v>
      </c>
    </row>
    <row r="15" spans="1:28" x14ac:dyDescent="0.25">
      <c r="A15" s="80" t="s">
        <v>285</v>
      </c>
      <c r="B15" s="79" t="s">
        <v>280</v>
      </c>
      <c r="C15" s="92" t="s">
        <v>284</v>
      </c>
      <c r="D15" s="80" t="str">
        <f t="shared" si="0"/>
        <v>Dendroctonus_ponderosae_MF20</v>
      </c>
      <c r="E15" s="81" t="s">
        <v>71</v>
      </c>
      <c r="F15" s="85" t="s">
        <v>281</v>
      </c>
      <c r="G15" s="83" t="s">
        <v>15</v>
      </c>
      <c r="H15" s="83" t="s">
        <v>16</v>
      </c>
      <c r="I15" s="94" t="s">
        <v>251</v>
      </c>
      <c r="J15" s="80" t="s">
        <v>200</v>
      </c>
      <c r="K15" s="83">
        <v>0</v>
      </c>
      <c r="L15" s="80">
        <v>1</v>
      </c>
      <c r="M15" s="80">
        <v>0</v>
      </c>
      <c r="N15" s="83" t="s">
        <v>311</v>
      </c>
      <c r="O15" s="83" t="s">
        <v>311</v>
      </c>
      <c r="P15" s="83" t="s">
        <v>311</v>
      </c>
      <c r="Q15" s="83" t="s">
        <v>311</v>
      </c>
      <c r="R15" s="83" t="s">
        <v>311</v>
      </c>
      <c r="S15" s="83" t="s">
        <v>311</v>
      </c>
      <c r="T15" s="83" t="s">
        <v>311</v>
      </c>
      <c r="U15" s="83" t="s">
        <v>311</v>
      </c>
      <c r="V15" s="83" t="s">
        <v>311</v>
      </c>
      <c r="W15" s="83" t="s">
        <v>311</v>
      </c>
      <c r="X15" s="83" t="s">
        <v>311</v>
      </c>
      <c r="Y15" s="83"/>
      <c r="Z15" s="83"/>
      <c r="AA15" s="83"/>
      <c r="AB15" s="83" t="s">
        <v>311</v>
      </c>
    </row>
    <row r="16" spans="1:28" x14ac:dyDescent="0.25">
      <c r="A16" s="92" t="s">
        <v>291</v>
      </c>
      <c r="B16" s="92" t="s">
        <v>286</v>
      </c>
      <c r="C16" s="92" t="s">
        <v>290</v>
      </c>
      <c r="D16" s="80" t="str">
        <f t="shared" si="0"/>
        <v>Lutzomyia_longipalpis_SR22</v>
      </c>
      <c r="E16" s="81" t="s">
        <v>104</v>
      </c>
      <c r="F16" s="85" t="s">
        <v>287</v>
      </c>
      <c r="G16" s="83" t="s">
        <v>15</v>
      </c>
      <c r="H16" s="83" t="s">
        <v>83</v>
      </c>
      <c r="I16" s="94" t="s">
        <v>251</v>
      </c>
      <c r="J16" s="80" t="s">
        <v>216</v>
      </c>
      <c r="K16" s="83">
        <v>0</v>
      </c>
      <c r="L16" s="80">
        <v>1</v>
      </c>
      <c r="M16" s="80">
        <v>0</v>
      </c>
      <c r="N16" s="83" t="s">
        <v>311</v>
      </c>
      <c r="O16" s="83" t="s">
        <v>311</v>
      </c>
      <c r="P16" s="83" t="s">
        <v>311</v>
      </c>
      <c r="Q16" s="83" t="s">
        <v>311</v>
      </c>
      <c r="R16" s="83" t="s">
        <v>311</v>
      </c>
      <c r="S16" s="83" t="s">
        <v>311</v>
      </c>
      <c r="T16" s="83" t="s">
        <v>311</v>
      </c>
      <c r="U16" s="83" t="s">
        <v>311</v>
      </c>
      <c r="V16" s="83" t="s">
        <v>311</v>
      </c>
      <c r="W16" s="83" t="s">
        <v>311</v>
      </c>
      <c r="X16" s="83" t="s">
        <v>311</v>
      </c>
      <c r="Y16" s="83"/>
      <c r="Z16" s="83"/>
      <c r="AA16" s="83"/>
      <c r="AB16" s="83" t="s">
        <v>311</v>
      </c>
    </row>
    <row r="17" spans="1:28" x14ac:dyDescent="0.25">
      <c r="A17" s="85" t="s">
        <v>261</v>
      </c>
      <c r="B17" s="79" t="s">
        <v>256</v>
      </c>
      <c r="C17" s="85" t="s">
        <v>260</v>
      </c>
      <c r="D17" s="80" t="str">
        <f t="shared" si="0"/>
        <v>Nephila_pilipes_Oki30</v>
      </c>
      <c r="E17" s="81" t="s">
        <v>129</v>
      </c>
      <c r="F17" s="85" t="s">
        <v>257</v>
      </c>
      <c r="G17" s="83" t="s">
        <v>15</v>
      </c>
      <c r="H17" s="83" t="s">
        <v>36</v>
      </c>
      <c r="I17" s="94" t="s">
        <v>251</v>
      </c>
      <c r="J17" s="85"/>
      <c r="K17" s="83">
        <v>1</v>
      </c>
      <c r="L17" s="80"/>
      <c r="M17" s="80"/>
      <c r="N17" s="80"/>
      <c r="O17" s="80"/>
      <c r="P17" s="80"/>
      <c r="Q17" s="80"/>
      <c r="R17" s="80"/>
      <c r="S17" s="80"/>
      <c r="T17" s="80"/>
      <c r="U17" s="80"/>
      <c r="V17" s="80"/>
      <c r="W17" s="80"/>
      <c r="X17" s="80"/>
      <c r="Y17" s="80"/>
      <c r="Z17" s="80"/>
      <c r="AA17" s="80"/>
      <c r="AB17" s="80"/>
    </row>
    <row r="18" spans="1:28" x14ac:dyDescent="0.25">
      <c r="A18" s="92" t="s">
        <v>267</v>
      </c>
      <c r="B18" s="92" t="s">
        <v>262</v>
      </c>
      <c r="C18" s="85" t="s">
        <v>266</v>
      </c>
      <c r="D18" s="80" t="str">
        <f t="shared" si="0"/>
        <v>Phlebotomus_argentipes_P92</v>
      </c>
      <c r="E18" s="81" t="s">
        <v>141</v>
      </c>
      <c r="F18" s="85" t="s">
        <v>263</v>
      </c>
      <c r="G18" s="83" t="s">
        <v>15</v>
      </c>
      <c r="H18" s="83" t="s">
        <v>83</v>
      </c>
      <c r="I18" s="94" t="s">
        <v>251</v>
      </c>
      <c r="J18" s="85"/>
      <c r="K18" s="83">
        <v>0</v>
      </c>
      <c r="L18" s="83">
        <v>1</v>
      </c>
      <c r="M18" s="80">
        <v>0</v>
      </c>
      <c r="N18" s="83" t="s">
        <v>311</v>
      </c>
      <c r="O18" s="83" t="s">
        <v>311</v>
      </c>
      <c r="P18" s="83" t="s">
        <v>311</v>
      </c>
      <c r="Q18" s="83" t="s">
        <v>311</v>
      </c>
      <c r="R18" s="83" t="s">
        <v>311</v>
      </c>
      <c r="S18" s="83" t="s">
        <v>311</v>
      </c>
      <c r="T18" s="83" t="s">
        <v>311</v>
      </c>
      <c r="U18" s="83" t="s">
        <v>311</v>
      </c>
      <c r="V18" s="83" t="s">
        <v>311</v>
      </c>
      <c r="W18" s="83" t="s">
        <v>311</v>
      </c>
      <c r="X18" s="83" t="s">
        <v>311</v>
      </c>
      <c r="Y18" s="83"/>
      <c r="Z18" s="83"/>
      <c r="AA18" s="83"/>
      <c r="AB18" s="83" t="s">
        <v>311</v>
      </c>
    </row>
  </sheetData>
  <autoFilter ref="I1:I18" xr:uid="{521F9358-46E4-4EBE-A012-520FECB06323}"/>
  <sortState xmlns:xlrd2="http://schemas.microsoft.com/office/spreadsheetml/2017/richdata2" ref="A2:AB18">
    <sortCondition ref="I2:I18" customList="I/II,II,III,IV,V,VI,VII,VIII,IX,X,XI"/>
  </sortState>
  <hyperlinks>
    <hyperlink ref="B2" r:id="rId1" xr:uid="{3231314D-8B8C-4DD4-9B60-6BBCD8677A28}"/>
    <hyperlink ref="B3" r:id="rId2" xr:uid="{71F28076-2F63-4CE2-8AE9-66CA1730B8F3}"/>
    <hyperlink ref="B4" r:id="rId3" xr:uid="{FC770059-1A00-4134-B949-8711840DCBA5}"/>
    <hyperlink ref="B5" r:id="rId4" xr:uid="{99332EF5-B965-4817-890B-8D868801F94F}"/>
    <hyperlink ref="B10" r:id="rId5" xr:uid="{749B6351-51F7-435E-BC51-EAF83E4BD23B}"/>
    <hyperlink ref="B7" r:id="rId6" xr:uid="{728CA475-0CD7-408F-8C52-EA1E95E2BC19}"/>
    <hyperlink ref="B11" r:id="rId7" xr:uid="{C4D2B49E-EA80-45F3-8005-90EACB29C5CC}"/>
    <hyperlink ref="B12" r:id="rId8" xr:uid="{CC946191-7DCE-4EB4-840E-84E12AF0AAFA}"/>
    <hyperlink ref="B17" r:id="rId9" xr:uid="{4C83060C-8A72-474D-9825-7EE2B5DFF05F}"/>
    <hyperlink ref="B18" r:id="rId10" xr:uid="{E388FD51-D7E6-4A24-818D-ECE8966183A7}"/>
    <hyperlink ref="B13" r:id="rId11" xr:uid="{117F06C4-C8AE-48F5-88A9-AEF45203ADA1}"/>
    <hyperlink ref="B15" r:id="rId12" xr:uid="{A2B601AF-EC6E-4C42-836A-6DF499526E80}"/>
    <hyperlink ref="B16" r:id="rId13" xr:uid="{6577DC41-1CF5-42DA-9D33-FD7ADDD5DEB5}"/>
    <hyperlink ref="A12" r:id="rId14" xr:uid="{B0E321A8-3911-468D-938B-9C47ABFA3C50}"/>
    <hyperlink ref="A18" r:id="rId15" xr:uid="{C6DB1944-B20F-4BFA-A521-5E9E31FCD077}"/>
    <hyperlink ref="A16" r:id="rId16" xr:uid="{75583304-7F7C-4F6E-BAE0-18EC07A15C8A}"/>
    <hyperlink ref="C2" r:id="rId17" xr:uid="{1B5B6ABD-BA64-446B-BEFC-219CCDCE2B21}"/>
    <hyperlink ref="C13" r:id="rId18" xr:uid="{38CF1450-0084-49B9-8D28-BA8BEFC588B3}"/>
    <hyperlink ref="C14" r:id="rId19" xr:uid="{A06D25A4-8E9E-4237-94B4-79CD6EDDCB46}"/>
    <hyperlink ref="C15" r:id="rId20" xr:uid="{CF12DAE9-60E0-47B5-8597-A6304C9283FA}"/>
    <hyperlink ref="C16" r:id="rId21" xr:uid="{6FE77700-F200-4D3F-B305-BCBA4F32CEB7}"/>
    <hyperlink ref="B6" r:id="rId22" xr:uid="{16E0DE55-BF5C-48A2-8C4D-E1CA6AC1FFE7}"/>
    <hyperlink ref="B8" r:id="rId23" xr:uid="{82B3F201-FA64-451A-9E21-E4BA001D7BEF}"/>
    <hyperlink ref="B9" r:id="rId24" xr:uid="{ECFDAC18-CE31-4527-9027-12F2C0CD359B}"/>
  </hyperlinks>
  <pageMargins left="0.7" right="0.7" top="0.75" bottom="0.75" header="0.3" footer="0.3"/>
  <pageSetup paperSize="9" orientation="portrait" r:id="rId2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0"/>
  <sheetViews>
    <sheetView zoomScale="85" zoomScaleNormal="85" workbookViewId="0">
      <selection activeCell="K3" sqref="K3:T3"/>
    </sheetView>
  </sheetViews>
  <sheetFormatPr baseColWidth="10" defaultColWidth="11.42578125" defaultRowHeight="15" x14ac:dyDescent="0.25"/>
  <cols>
    <col min="1" max="1" width="20.140625" style="14" customWidth="1"/>
    <col min="2" max="2" width="32.5703125" style="40" customWidth="1"/>
    <col min="3" max="3" width="27.85546875" style="40" customWidth="1"/>
    <col min="4" max="4" width="18.42578125" style="40" customWidth="1"/>
    <col min="5" max="5" width="20.140625" style="14" customWidth="1"/>
    <col min="6" max="6" width="10.7109375" style="14" customWidth="1"/>
    <col min="7" max="7" width="12" style="41" customWidth="1"/>
    <col min="8" max="8" width="11.5703125" style="41" customWidth="1"/>
    <col min="9" max="9" width="3.5703125" style="41" customWidth="1"/>
    <col min="10" max="10" width="3" style="40" customWidth="1"/>
    <col min="11" max="11" width="14.85546875" style="42" customWidth="1"/>
    <col min="12" max="12" width="13.7109375" style="43" customWidth="1"/>
    <col min="13" max="13" width="11.5703125" style="43" customWidth="1"/>
    <col min="14" max="14" width="10" style="43" customWidth="1"/>
    <col min="15" max="15" width="21.5703125" style="43" customWidth="1"/>
    <col min="16" max="16" width="11" style="43" customWidth="1"/>
    <col min="17" max="17" width="10.140625" style="43" customWidth="1"/>
    <col min="18" max="18" width="20.85546875" style="43" customWidth="1"/>
    <col min="19" max="19" width="18.5703125" style="44" customWidth="1"/>
    <col min="20" max="20" width="5.5703125" style="44" customWidth="1"/>
    <col min="21" max="21" width="7.7109375" style="43" customWidth="1"/>
    <col min="22" max="16384" width="11.42578125" style="44"/>
  </cols>
  <sheetData>
    <row r="1" spans="1:22" x14ac:dyDescent="0.25">
      <c r="A1" s="45" t="s">
        <v>292</v>
      </c>
      <c r="B1" s="45" t="s">
        <v>1</v>
      </c>
      <c r="C1" s="45" t="s">
        <v>2</v>
      </c>
      <c r="D1" s="45" t="s">
        <v>180</v>
      </c>
      <c r="E1" s="45" t="s">
        <v>191</v>
      </c>
      <c r="F1" s="46" t="s">
        <v>181</v>
      </c>
      <c r="G1" s="45" t="s">
        <v>3</v>
      </c>
      <c r="H1" s="45" t="s">
        <v>4</v>
      </c>
      <c r="I1" s="45" t="s">
        <v>182</v>
      </c>
      <c r="J1" s="45" t="s">
        <v>293</v>
      </c>
      <c r="K1" s="47" t="s">
        <v>294</v>
      </c>
      <c r="L1" s="45" t="s">
        <v>295</v>
      </c>
      <c r="M1" s="45" t="s">
        <v>296</v>
      </c>
      <c r="N1" s="45" t="s">
        <v>297</v>
      </c>
      <c r="O1" s="45" t="s">
        <v>298</v>
      </c>
      <c r="P1" s="45" t="s">
        <v>299</v>
      </c>
      <c r="Q1" s="45" t="s">
        <v>300</v>
      </c>
      <c r="R1" s="45" t="s">
        <v>301</v>
      </c>
      <c r="S1" s="47" t="s">
        <v>302</v>
      </c>
      <c r="T1" s="48" t="s">
        <v>303</v>
      </c>
      <c r="U1" s="45" t="s">
        <v>304</v>
      </c>
      <c r="V1" s="45" t="s">
        <v>305</v>
      </c>
    </row>
    <row r="2" spans="1:22" x14ac:dyDescent="0.25">
      <c r="A2" s="30" t="s">
        <v>202</v>
      </c>
      <c r="B2" s="32" t="str">
        <f>_xlfn.CONCAT(C2,"_",E2)</f>
        <v>Drosophila_ananassae_cHI</v>
      </c>
      <c r="C2" s="26" t="s">
        <v>82</v>
      </c>
      <c r="D2" s="27" t="s">
        <v>195</v>
      </c>
      <c r="E2" s="28" t="s">
        <v>196</v>
      </c>
      <c r="F2" s="28" t="s">
        <v>196</v>
      </c>
      <c r="G2" s="49" t="s">
        <v>15</v>
      </c>
      <c r="H2" s="25" t="s">
        <v>83</v>
      </c>
      <c r="I2" s="50" t="s">
        <v>306</v>
      </c>
      <c r="J2" s="25"/>
      <c r="K2" s="25"/>
      <c r="L2" s="25"/>
      <c r="M2" s="29"/>
      <c r="N2" s="6"/>
      <c r="O2" s="15"/>
    </row>
    <row r="3" spans="1:22" x14ac:dyDescent="0.25">
      <c r="A3" s="51" t="s">
        <v>211</v>
      </c>
      <c r="B3" s="51" t="s">
        <v>307</v>
      </c>
      <c r="C3" s="52" t="s">
        <v>24</v>
      </c>
      <c r="D3" s="27" t="s">
        <v>205</v>
      </c>
      <c r="E3" s="51" t="s">
        <v>211</v>
      </c>
      <c r="F3" s="53" t="s">
        <v>206</v>
      </c>
      <c r="G3" s="49" t="s">
        <v>15</v>
      </c>
      <c r="H3" s="49" t="s">
        <v>25</v>
      </c>
      <c r="I3" s="54" t="s">
        <v>207</v>
      </c>
      <c r="J3" s="55">
        <v>1</v>
      </c>
      <c r="K3" s="56" t="s">
        <v>308</v>
      </c>
      <c r="L3" s="57">
        <v>0.98</v>
      </c>
      <c r="M3" s="58">
        <v>2E-91</v>
      </c>
      <c r="N3" s="59" t="s">
        <v>309</v>
      </c>
      <c r="O3" s="55" t="s">
        <v>26</v>
      </c>
      <c r="P3" s="60">
        <v>13709097</v>
      </c>
      <c r="Q3" s="60">
        <v>13709653</v>
      </c>
      <c r="R3" s="49" t="s">
        <v>310</v>
      </c>
      <c r="S3" s="49" t="s">
        <v>311</v>
      </c>
      <c r="T3" s="49">
        <v>1</v>
      </c>
    </row>
    <row r="4" spans="1:22" x14ac:dyDescent="0.25">
      <c r="B4" s="32" t="str">
        <f>_xlfn.CONCAT(C4,"_",E4)</f>
        <v>Timema_californicum_T76</v>
      </c>
      <c r="C4" s="33" t="s">
        <v>159</v>
      </c>
      <c r="D4" s="27" t="s">
        <v>212</v>
      </c>
      <c r="E4" s="28" t="s">
        <v>213</v>
      </c>
      <c r="F4" s="28" t="s">
        <v>213</v>
      </c>
      <c r="G4" s="49" t="s">
        <v>15</v>
      </c>
      <c r="H4" s="25" t="s">
        <v>160</v>
      </c>
      <c r="I4" s="34" t="s">
        <v>207</v>
      </c>
      <c r="J4" s="25"/>
      <c r="K4" s="25"/>
      <c r="L4" s="25"/>
      <c r="M4" s="29"/>
      <c r="N4" s="6"/>
      <c r="O4" s="15"/>
    </row>
    <row r="5" spans="1:22" x14ac:dyDescent="0.25">
      <c r="A5" s="31" t="s">
        <v>255</v>
      </c>
      <c r="B5" s="32" t="str">
        <f>_xlfn.CONCAT(C5,"_",E5)</f>
        <v>Araneus_ventricosus_Yam34</v>
      </c>
      <c r="C5" s="33" t="s">
        <v>35</v>
      </c>
      <c r="D5" s="27" t="s">
        <v>249</v>
      </c>
      <c r="E5" s="36" t="s">
        <v>250</v>
      </c>
      <c r="F5" s="36" t="s">
        <v>250</v>
      </c>
      <c r="G5" s="49" t="s">
        <v>15</v>
      </c>
      <c r="H5" s="25" t="s">
        <v>36</v>
      </c>
      <c r="I5" s="39" t="s">
        <v>251</v>
      </c>
      <c r="J5" s="25"/>
      <c r="K5" s="25"/>
      <c r="L5" s="25"/>
      <c r="M5" s="29"/>
      <c r="N5" s="6"/>
      <c r="O5" s="15"/>
    </row>
    <row r="6" spans="1:22" x14ac:dyDescent="0.25">
      <c r="A6" s="28" t="s">
        <v>261</v>
      </c>
      <c r="B6" s="32" t="str">
        <f>_xlfn.CONCAT(C6,"_",E6)</f>
        <v>Nephila_pilipes_Oki30</v>
      </c>
      <c r="C6" s="33" t="s">
        <v>129</v>
      </c>
      <c r="D6" s="27" t="s">
        <v>256</v>
      </c>
      <c r="E6" s="28" t="s">
        <v>257</v>
      </c>
      <c r="F6" s="28" t="s">
        <v>257</v>
      </c>
      <c r="G6" s="49" t="s">
        <v>15</v>
      </c>
      <c r="H6" s="25" t="s">
        <v>36</v>
      </c>
      <c r="I6" s="39" t="s">
        <v>251</v>
      </c>
      <c r="J6" s="25"/>
      <c r="K6" s="25"/>
      <c r="L6" s="25"/>
      <c r="M6" s="29"/>
      <c r="N6" s="6"/>
      <c r="O6" s="15"/>
    </row>
    <row r="7" spans="1:22" x14ac:dyDescent="0.25">
      <c r="A7" s="31" t="s">
        <v>267</v>
      </c>
      <c r="B7" s="51" t="s">
        <v>312</v>
      </c>
      <c r="C7" s="52" t="s">
        <v>141</v>
      </c>
      <c r="D7" s="31" t="s">
        <v>262</v>
      </c>
      <c r="E7" s="31" t="s">
        <v>267</v>
      </c>
      <c r="F7" s="53" t="s">
        <v>263</v>
      </c>
      <c r="G7" s="49" t="s">
        <v>15</v>
      </c>
      <c r="H7" s="49" t="s">
        <v>83</v>
      </c>
      <c r="I7" s="61" t="s">
        <v>251</v>
      </c>
      <c r="J7" s="55"/>
      <c r="K7" s="56"/>
      <c r="L7" s="49"/>
      <c r="M7" s="49"/>
      <c r="N7" s="49"/>
      <c r="O7" s="49"/>
      <c r="P7" s="49"/>
      <c r="Q7" s="49"/>
      <c r="R7" s="49"/>
      <c r="S7" s="51"/>
      <c r="T7" s="51"/>
    </row>
    <row r="8" spans="1:22" x14ac:dyDescent="0.25">
      <c r="A8" s="51" t="s">
        <v>273</v>
      </c>
      <c r="B8" s="51" t="s">
        <v>313</v>
      </c>
      <c r="C8" s="52" t="s">
        <v>59</v>
      </c>
      <c r="D8" s="27" t="s">
        <v>268</v>
      </c>
      <c r="E8" s="51" t="s">
        <v>273</v>
      </c>
      <c r="F8" s="37" t="s">
        <v>269</v>
      </c>
      <c r="G8" s="49" t="s">
        <v>60</v>
      </c>
      <c r="H8" s="49" t="s">
        <v>60</v>
      </c>
      <c r="I8" s="61" t="s">
        <v>251</v>
      </c>
      <c r="J8" s="55"/>
      <c r="K8" s="56"/>
      <c r="L8" s="49"/>
      <c r="M8" s="49"/>
      <c r="N8" s="49"/>
      <c r="O8" s="49"/>
      <c r="P8" s="49"/>
      <c r="Q8" s="49"/>
      <c r="R8" s="49"/>
      <c r="S8" s="51"/>
      <c r="T8" s="51"/>
    </row>
    <row r="9" spans="1:22" x14ac:dyDescent="0.25">
      <c r="A9" s="51" t="s">
        <v>279</v>
      </c>
      <c r="B9" s="51" t="s">
        <v>314</v>
      </c>
      <c r="C9" s="52" t="s">
        <v>71</v>
      </c>
      <c r="D9" s="36" t="s">
        <v>274</v>
      </c>
      <c r="E9" s="51" t="s">
        <v>279</v>
      </c>
      <c r="F9" s="53" t="s">
        <v>275</v>
      </c>
      <c r="G9" s="49" t="s">
        <v>15</v>
      </c>
      <c r="H9" s="49" t="s">
        <v>16</v>
      </c>
      <c r="I9" s="61" t="s">
        <v>251</v>
      </c>
      <c r="J9" s="55"/>
      <c r="K9" s="56"/>
      <c r="L9" s="49"/>
      <c r="M9" s="49"/>
      <c r="N9" s="49"/>
      <c r="O9" s="49"/>
      <c r="P9" s="49"/>
      <c r="Q9" s="62"/>
      <c r="R9" s="49"/>
      <c r="S9" s="51"/>
      <c r="T9" s="51"/>
    </row>
    <row r="10" spans="1:22" x14ac:dyDescent="0.25">
      <c r="A10" s="51" t="s">
        <v>285</v>
      </c>
      <c r="B10" s="51" t="s">
        <v>315</v>
      </c>
      <c r="C10" s="52" t="s">
        <v>71</v>
      </c>
      <c r="D10" s="27" t="s">
        <v>280</v>
      </c>
      <c r="E10" s="51" t="s">
        <v>285</v>
      </c>
      <c r="F10" s="53" t="s">
        <v>281</v>
      </c>
      <c r="G10" s="49" t="s">
        <v>15</v>
      </c>
      <c r="H10" s="49" t="s">
        <v>16</v>
      </c>
      <c r="I10" s="61" t="s">
        <v>251</v>
      </c>
      <c r="J10" s="55"/>
      <c r="K10" s="56"/>
      <c r="L10" s="49"/>
      <c r="M10" s="49"/>
      <c r="N10" s="49"/>
      <c r="O10" s="49"/>
      <c r="P10" s="49"/>
      <c r="Q10" s="49"/>
      <c r="R10" s="49"/>
      <c r="S10" s="51"/>
      <c r="T10" s="51"/>
    </row>
    <row r="11" spans="1:22" s="68" customFormat="1" x14ac:dyDescent="0.25">
      <c r="A11" s="92" t="s">
        <v>291</v>
      </c>
      <c r="B11" s="91" t="s">
        <v>316</v>
      </c>
      <c r="C11" s="100" t="s">
        <v>104</v>
      </c>
      <c r="D11" s="92" t="s">
        <v>286</v>
      </c>
      <c r="E11" s="92" t="s">
        <v>291</v>
      </c>
      <c r="F11" s="100" t="s">
        <v>287</v>
      </c>
      <c r="G11" s="60" t="s">
        <v>15</v>
      </c>
      <c r="H11" s="60" t="s">
        <v>83</v>
      </c>
      <c r="I11" s="101" t="s">
        <v>251</v>
      </c>
      <c r="J11" s="65"/>
      <c r="K11" s="66"/>
      <c r="L11" s="64"/>
      <c r="M11" s="65"/>
      <c r="N11" s="65"/>
      <c r="O11" s="65"/>
      <c r="P11" s="64"/>
      <c r="Q11" s="64"/>
      <c r="R11" s="64"/>
      <c r="S11" s="63"/>
      <c r="T11" s="63"/>
      <c r="U11" s="67"/>
    </row>
    <row r="12" spans="1:22" x14ac:dyDescent="0.25">
      <c r="A12" s="36" t="s">
        <v>225</v>
      </c>
      <c r="B12" s="51" t="s">
        <v>317</v>
      </c>
      <c r="C12" s="52" t="s">
        <v>14</v>
      </c>
      <c r="D12" s="27" t="s">
        <v>217</v>
      </c>
      <c r="E12" s="36" t="s">
        <v>225</v>
      </c>
      <c r="F12" s="69" t="s">
        <v>218</v>
      </c>
      <c r="G12" s="49" t="s">
        <v>15</v>
      </c>
      <c r="H12" s="49" t="s">
        <v>16</v>
      </c>
      <c r="I12" s="70" t="s">
        <v>219</v>
      </c>
      <c r="J12" s="55">
        <v>1</v>
      </c>
      <c r="K12" s="56" t="s">
        <v>318</v>
      </c>
      <c r="L12" s="71">
        <v>1</v>
      </c>
      <c r="M12" s="72">
        <v>9.9999999999999999E-93</v>
      </c>
      <c r="N12" s="62" t="s">
        <v>319</v>
      </c>
      <c r="O12" s="35" t="s">
        <v>221</v>
      </c>
      <c r="P12" s="49">
        <v>96616</v>
      </c>
      <c r="Q12" s="49">
        <v>97236</v>
      </c>
      <c r="R12" s="49" t="s">
        <v>320</v>
      </c>
      <c r="S12" s="49" t="s">
        <v>17</v>
      </c>
      <c r="T12" s="49">
        <v>1</v>
      </c>
      <c r="U12" s="43">
        <v>1</v>
      </c>
      <c r="V12" s="44" t="s">
        <v>321</v>
      </c>
    </row>
    <row r="13" spans="1:22" x14ac:dyDescent="0.25">
      <c r="A13" s="36" t="s">
        <v>225</v>
      </c>
      <c r="B13" s="51" t="s">
        <v>317</v>
      </c>
      <c r="C13" s="52" t="s">
        <v>14</v>
      </c>
      <c r="D13" s="27" t="s">
        <v>217</v>
      </c>
      <c r="E13" s="36" t="s">
        <v>225</v>
      </c>
      <c r="F13" s="69" t="s">
        <v>218</v>
      </c>
      <c r="G13" s="49" t="s">
        <v>15</v>
      </c>
      <c r="H13" s="49" t="s">
        <v>16</v>
      </c>
      <c r="I13" s="70" t="s">
        <v>219</v>
      </c>
      <c r="J13" s="55">
        <v>2</v>
      </c>
      <c r="K13" s="56" t="s">
        <v>318</v>
      </c>
      <c r="L13" s="71">
        <v>1</v>
      </c>
      <c r="M13" s="72">
        <v>9.9999999999999995E-45</v>
      </c>
      <c r="N13" s="62" t="s">
        <v>322</v>
      </c>
      <c r="O13" s="49" t="s">
        <v>323</v>
      </c>
      <c r="P13" s="49">
        <v>2763929</v>
      </c>
      <c r="Q13" s="49">
        <v>2764530</v>
      </c>
      <c r="R13" s="49" t="s">
        <v>324</v>
      </c>
      <c r="S13" s="51"/>
      <c r="T13" s="51"/>
    </row>
    <row r="14" spans="1:22" x14ac:dyDescent="0.25">
      <c r="A14" s="28" t="s">
        <v>234</v>
      </c>
      <c r="B14" s="32" t="str">
        <f>_xlfn.CONCAT(C14,"_",E14)</f>
        <v>Gerris_buenoi_Swe94</v>
      </c>
      <c r="C14" s="33" t="s">
        <v>94</v>
      </c>
      <c r="D14" s="27" t="s">
        <v>227</v>
      </c>
      <c r="E14" s="28" t="s">
        <v>228</v>
      </c>
      <c r="F14" s="28" t="s">
        <v>228</v>
      </c>
      <c r="G14" s="49" t="s">
        <v>15</v>
      </c>
      <c r="H14" s="25" t="s">
        <v>63</v>
      </c>
      <c r="I14" s="38" t="s">
        <v>229</v>
      </c>
      <c r="J14" s="25"/>
      <c r="K14" s="25"/>
      <c r="L14" s="25"/>
      <c r="M14" s="29"/>
      <c r="N14" s="6"/>
      <c r="O14" s="15"/>
    </row>
    <row r="15" spans="1:22" x14ac:dyDescent="0.25">
      <c r="A15" s="36" t="s">
        <v>241</v>
      </c>
      <c r="B15" s="51" t="s">
        <v>325</v>
      </c>
      <c r="C15" s="52" t="s">
        <v>46</v>
      </c>
      <c r="D15" s="27" t="s">
        <v>236</v>
      </c>
      <c r="E15" s="36" t="s">
        <v>241</v>
      </c>
      <c r="F15" s="37" t="s">
        <v>237</v>
      </c>
      <c r="G15" s="49" t="s">
        <v>15</v>
      </c>
      <c r="H15" s="49" t="s">
        <v>47</v>
      </c>
      <c r="I15" s="38" t="s">
        <v>229</v>
      </c>
      <c r="J15" s="55">
        <v>1</v>
      </c>
      <c r="K15" s="56" t="s">
        <v>326</v>
      </c>
      <c r="L15" s="57">
        <v>1</v>
      </c>
      <c r="M15" s="58">
        <v>2E-99</v>
      </c>
      <c r="N15" s="59" t="s">
        <v>327</v>
      </c>
      <c r="O15" s="3" t="s">
        <v>238</v>
      </c>
      <c r="P15" s="73">
        <v>2339216</v>
      </c>
      <c r="Q15" s="73">
        <v>2339848</v>
      </c>
      <c r="R15" s="59" t="s">
        <v>328</v>
      </c>
      <c r="S15" s="49" t="s">
        <v>311</v>
      </c>
      <c r="T15" s="49">
        <v>1</v>
      </c>
    </row>
    <row r="16" spans="1:22" x14ac:dyDescent="0.25">
      <c r="A16" s="36" t="s">
        <v>329</v>
      </c>
      <c r="B16" s="51" t="s">
        <v>325</v>
      </c>
      <c r="C16" s="52" t="s">
        <v>46</v>
      </c>
      <c r="D16" s="27" t="s">
        <v>236</v>
      </c>
      <c r="E16" s="36" t="s">
        <v>241</v>
      </c>
      <c r="F16" s="37" t="s">
        <v>237</v>
      </c>
      <c r="G16" s="49" t="s">
        <v>15</v>
      </c>
      <c r="H16" s="49" t="s">
        <v>47</v>
      </c>
      <c r="I16" s="38" t="s">
        <v>229</v>
      </c>
      <c r="J16" s="55">
        <v>2</v>
      </c>
      <c r="K16" s="56" t="s">
        <v>326</v>
      </c>
      <c r="L16" s="57">
        <v>1</v>
      </c>
      <c r="M16" s="58">
        <v>2E-99</v>
      </c>
      <c r="N16" s="59" t="s">
        <v>327</v>
      </c>
      <c r="O16" s="3" t="s">
        <v>238</v>
      </c>
      <c r="P16" s="60">
        <v>1630884</v>
      </c>
      <c r="Q16" s="60">
        <v>1631516</v>
      </c>
      <c r="R16" s="49" t="s">
        <v>330</v>
      </c>
      <c r="S16" s="49" t="s">
        <v>311</v>
      </c>
      <c r="T16" s="49">
        <v>1</v>
      </c>
    </row>
    <row r="17" spans="1:20" x14ac:dyDescent="0.25">
      <c r="A17" s="36" t="s">
        <v>331</v>
      </c>
      <c r="B17" s="51" t="s">
        <v>325</v>
      </c>
      <c r="C17" s="52" t="s">
        <v>46</v>
      </c>
      <c r="D17" s="27" t="s">
        <v>236</v>
      </c>
      <c r="E17" s="36" t="s">
        <v>241</v>
      </c>
      <c r="F17" s="37" t="s">
        <v>237</v>
      </c>
      <c r="G17" s="49" t="s">
        <v>15</v>
      </c>
      <c r="H17" s="49" t="s">
        <v>47</v>
      </c>
      <c r="I17" s="38" t="s">
        <v>229</v>
      </c>
      <c r="J17" s="55">
        <v>2</v>
      </c>
      <c r="K17" s="56" t="s">
        <v>326</v>
      </c>
      <c r="L17" s="57">
        <v>1</v>
      </c>
      <c r="M17" s="58">
        <v>2E-99</v>
      </c>
      <c r="N17" s="59" t="s">
        <v>327</v>
      </c>
      <c r="O17" s="3" t="s">
        <v>238</v>
      </c>
      <c r="P17" s="59">
        <v>889145</v>
      </c>
      <c r="Q17" s="49">
        <v>889777</v>
      </c>
      <c r="R17" s="49" t="s">
        <v>332</v>
      </c>
      <c r="S17" s="49" t="s">
        <v>311</v>
      </c>
      <c r="T17" s="49">
        <v>1</v>
      </c>
    </row>
    <row r="18" spans="1:20" x14ac:dyDescent="0.25">
      <c r="A18" s="28" t="s">
        <v>248</v>
      </c>
      <c r="B18" s="32" t="str">
        <f>_xlfn.CONCAT(C18,"_",E18)</f>
        <v>Homalodisca_vitripennis_Tul88</v>
      </c>
      <c r="C18" s="33" t="s">
        <v>97</v>
      </c>
      <c r="D18" s="27" t="s">
        <v>242</v>
      </c>
      <c r="E18" s="36" t="s">
        <v>243</v>
      </c>
      <c r="F18" s="36" t="s">
        <v>243</v>
      </c>
      <c r="G18" s="49" t="s">
        <v>15</v>
      </c>
      <c r="H18" s="25" t="s">
        <v>63</v>
      </c>
      <c r="I18" s="38" t="s">
        <v>229</v>
      </c>
      <c r="J18" s="25"/>
      <c r="K18" s="25"/>
      <c r="L18" s="25"/>
      <c r="M18" s="29"/>
      <c r="N18" s="6"/>
      <c r="O18" s="15"/>
    </row>
    <row r="19" spans="1:20" x14ac:dyDescent="0.25">
      <c r="B19" s="32"/>
      <c r="C19" s="33"/>
      <c r="D19" s="27"/>
      <c r="E19" s="36"/>
      <c r="F19" s="36"/>
      <c r="G19" s="25"/>
      <c r="H19" s="29"/>
      <c r="I19" s="6"/>
      <c r="J19" s="25"/>
      <c r="K19" s="25"/>
      <c r="L19" s="25"/>
      <c r="M19" s="29"/>
      <c r="N19" s="6"/>
      <c r="O19" s="15"/>
    </row>
    <row r="20" spans="1:20" x14ac:dyDescent="0.25">
      <c r="M20" s="15"/>
      <c r="N20" s="15"/>
      <c r="O20" s="15"/>
    </row>
  </sheetData>
  <autoFilter ref="I1:I1048498" xr:uid="{00000000-0009-0000-0000-000002000000}"/>
  <hyperlinks>
    <hyperlink ref="D2" r:id="rId1" xr:uid="{00000000-0004-0000-0200-000000000000}"/>
    <hyperlink ref="D3" r:id="rId2" xr:uid="{00000000-0004-0000-0200-000001000000}"/>
    <hyperlink ref="D4" r:id="rId3" xr:uid="{00000000-0004-0000-0200-000002000000}"/>
    <hyperlink ref="A5" r:id="rId4" xr:uid="{00000000-0004-0000-0200-000003000000}"/>
    <hyperlink ref="D5" r:id="rId5" xr:uid="{00000000-0004-0000-0200-000004000000}"/>
    <hyperlink ref="D6" r:id="rId6" xr:uid="{00000000-0004-0000-0200-000005000000}"/>
    <hyperlink ref="A7" r:id="rId7" xr:uid="{00000000-0004-0000-0200-000006000000}"/>
    <hyperlink ref="D7" r:id="rId8" xr:uid="{00000000-0004-0000-0200-000007000000}"/>
    <hyperlink ref="E7" r:id="rId9" xr:uid="{00000000-0004-0000-0200-000008000000}"/>
    <hyperlink ref="D8" r:id="rId10" xr:uid="{00000000-0004-0000-0200-000009000000}"/>
    <hyperlink ref="D10" r:id="rId11" xr:uid="{00000000-0004-0000-0200-00000A000000}"/>
    <hyperlink ref="A11" r:id="rId12" xr:uid="{00000000-0004-0000-0200-00000B000000}"/>
    <hyperlink ref="D11" r:id="rId13" xr:uid="{00000000-0004-0000-0200-00000C000000}"/>
    <hyperlink ref="E11" r:id="rId14" xr:uid="{00000000-0004-0000-0200-00000D000000}"/>
    <hyperlink ref="D12" r:id="rId15" xr:uid="{00000000-0004-0000-0200-00000E000000}"/>
    <hyperlink ref="D13" r:id="rId16" xr:uid="{00000000-0004-0000-0200-00000F000000}"/>
    <hyperlink ref="D14" r:id="rId17" xr:uid="{00000000-0004-0000-0200-000010000000}"/>
    <hyperlink ref="D15" r:id="rId18" xr:uid="{00000000-0004-0000-0200-000011000000}"/>
    <hyperlink ref="D16" r:id="rId19" xr:uid="{00000000-0004-0000-0200-000012000000}"/>
    <hyperlink ref="D17" r:id="rId20" xr:uid="{00000000-0004-0000-0200-000013000000}"/>
    <hyperlink ref="D18" r:id="rId21" xr:uid="{00000000-0004-0000-0200-000014000000}"/>
  </hyperlinks>
  <pageMargins left="0.7" right="0.7" top="0.75" bottom="0.75" header="0.511811023622047" footer="0.511811023622047"/>
  <pageSetup paperSize="9" orientation="portrait" horizontalDpi="300" verticalDpi="300" r:id="rId22"/>
</worksheet>
</file>

<file path=docProps/app.xml><?xml version="1.0" encoding="utf-8"?>
<Properties xmlns="http://schemas.openxmlformats.org/officeDocument/2006/extended-properties" xmlns:vt="http://schemas.openxmlformats.org/officeDocument/2006/docPropsVTypes">
  <Template/>
  <TotalTime>295</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1</vt:lpstr>
      <vt:lpstr>2</vt:lpstr>
      <vt:lpstr>3</vt:lpstr>
      <vt:lpstr>Feuil1</vt:lpstr>
      <vt:lpstr>Feuil2</vt:lpstr>
      <vt:lpstr>3avant</vt:lpstr>
      <vt:lpstr>obsolète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Mahel RICHON</dc:creator>
  <dc:description/>
  <cp:lastModifiedBy>Mahel</cp:lastModifiedBy>
  <cp:revision>16</cp:revision>
  <dcterms:created xsi:type="dcterms:W3CDTF">2015-06-05T18:19:34Z</dcterms:created>
  <dcterms:modified xsi:type="dcterms:W3CDTF">2026-04-17T14:35:02Z</dcterms:modified>
  <dc:language>fr-FR</dc:language>
</cp:coreProperties>
</file>